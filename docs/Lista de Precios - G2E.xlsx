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cionalizado" sheetId="1" r:id="rId5"/>
    <sheet state="visible" name="." sheetId="2" r:id="rId6"/>
  </sheets>
  <definedNames/>
  <calcPr/>
</workbook>
</file>

<file path=xl/sharedStrings.xml><?xml version="1.0" encoding="utf-8"?>
<sst xmlns="http://schemas.openxmlformats.org/spreadsheetml/2006/main" count="1572" uniqueCount="698">
  <si>
    <r>
      <rPr>
        <rFont val="Arial"/>
        <color rgb="FF000000"/>
        <sz val="11.0"/>
      </rPr>
      <t xml:space="preserve"> Somos G2E. Una empresa de energias renovables con mas de 15 años de experiencia en el sector.
</t>
    </r>
    <r>
      <rPr>
        <rFont val="Arial"/>
        <b/>
        <color rgb="FF0000FF"/>
        <sz val="11.0"/>
      </rPr>
      <t xml:space="preserve">CONTACTANOS POR WHATSAPP AL: 11-3652-0821
</t>
    </r>
    <r>
      <rPr>
        <rFont val="Arial"/>
        <color rgb="FF000000"/>
        <sz val="11.0"/>
      </rPr>
      <t xml:space="preserve">
Direccion comercial y administrativa: Vedia 3892, CABA, Argentina.
NO VENDEMOS A USUARIO FINAL. NO VENDEMOS REPUESTOS NI DAMOS SERVICE A EQUIPOS DE TERCEROS .
ESTE LISTADO DE PRECIOS ES PARA INSTALADORES / INTEGRADORES</t>
    </r>
  </si>
  <si>
    <t>www.g2e.com.ar</t>
  </si>
  <si>
    <t>LEGAJO IMPOSITIVO</t>
  </si>
  <si>
    <r>
      <rPr>
        <rFont val="Arial"/>
        <b/>
        <color rgb="FF000000"/>
        <sz val="11.0"/>
      </rPr>
      <t xml:space="preserve">CONDICIONES COMERCIALES:
</t>
    </r>
    <r>
      <rPr>
        <rFont val="Arial"/>
        <color rgb="FF000000"/>
        <sz val="11.0"/>
      </rPr>
      <t>1)</t>
    </r>
    <r>
      <rPr>
        <rFont val="Arial"/>
        <b/>
        <color rgb="FF000000"/>
        <sz val="11.0"/>
      </rPr>
      <t>Tipo de cambio:</t>
    </r>
    <r>
      <rPr>
        <rFont val="Arial"/>
        <color rgb="FF000000"/>
        <sz val="11.0"/>
      </rPr>
      <t xml:space="preserve"> </t>
    </r>
    <r>
      <rPr>
        <rFont val="Arial"/>
        <b/>
        <color rgb="FF000000"/>
        <sz val="11.0"/>
      </rPr>
      <t>BNA</t>
    </r>
    <r>
      <rPr>
        <rFont val="Arial"/>
        <color rgb="FF000000"/>
        <sz val="11.0"/>
      </rPr>
      <t xml:space="preserve"> billete vendedor del momento del pago
2)</t>
    </r>
    <r>
      <rPr>
        <rFont val="Arial"/>
        <b/>
        <color rgb="FF000000"/>
        <sz val="11.0"/>
      </rPr>
      <t xml:space="preserve">Forma de pago: Transferencia o depositos por ventanilla. Echeq al dia en casos previamente acordados. </t>
    </r>
    <r>
      <rPr>
        <rFont val="Arial"/>
        <b/>
        <color rgb="FF0000FF"/>
        <sz val="11.0"/>
      </rPr>
      <t xml:space="preserve">Tomamos pagos en USD (deposito en BNA o transferencia, ambos sin recargo)
</t>
    </r>
    <r>
      <rPr>
        <rFont val="Arial"/>
        <b/>
        <color rgb="FF000000"/>
        <sz val="11.0"/>
      </rPr>
      <t>Echeq a 30 y 60 dias para clientes con historial de compra con tasa de recargo aproximada del 3,5% (a 30) a definir segun operacion.</t>
    </r>
    <r>
      <rPr>
        <rFont val="Arial"/>
        <color rgb="FF000000"/>
        <sz val="11.0"/>
      </rPr>
      <t xml:space="preserve">
3)</t>
    </r>
    <r>
      <rPr>
        <rFont val="Arial"/>
        <b/>
        <color rgb="FF000000"/>
        <sz val="11.0"/>
      </rPr>
      <t xml:space="preserve">Entrega: 3 a 5 dias habiles </t>
    </r>
    <r>
      <rPr>
        <rFont val="Arial"/>
        <color rgb="FF000000"/>
        <sz val="11.0"/>
      </rPr>
      <t>desde acreditado el pago  para despachar en transporte en CABA. Se puede retirar por deposito dependiendo el producto.
4)</t>
    </r>
    <r>
      <rPr>
        <rFont val="Arial"/>
        <b/>
        <color rgb="FF000000"/>
        <sz val="11.0"/>
      </rPr>
      <t>IVA:</t>
    </r>
    <r>
      <rPr>
        <rFont val="Arial"/>
        <color rgb="FF000000"/>
        <sz val="11.0"/>
      </rPr>
      <t xml:space="preserve"> Precios expresados </t>
    </r>
    <r>
      <rPr>
        <rFont val="Arial"/>
        <b/>
        <color rgb="FF000000"/>
        <sz val="11.0"/>
      </rPr>
      <t>sin IVA.</t>
    </r>
    <r>
      <rPr>
        <rFont val="Arial"/>
        <color rgb="FF000000"/>
        <sz val="11.0"/>
      </rPr>
      <t xml:space="preserve"> </t>
    </r>
    <r>
      <rPr>
        <rFont val="Arial"/>
        <b/>
        <color rgb="FF000000"/>
        <sz val="11.0"/>
      </rPr>
      <t xml:space="preserve">
</t>
    </r>
    <r>
      <rPr>
        <rFont val="Arial"/>
        <color rgb="FF000000"/>
        <sz val="11.0"/>
      </rPr>
      <t>5)</t>
    </r>
    <r>
      <rPr>
        <rFont val="Arial"/>
        <b/>
        <color rgb="FF000000"/>
        <sz val="11.0"/>
      </rPr>
      <t>Stock:</t>
    </r>
    <r>
      <rPr>
        <rFont val="Arial"/>
        <color rgb="FF000000"/>
        <sz val="11.0"/>
      </rPr>
      <t xml:space="preserve"> Confirmar stock previamente por whatsap.
6) </t>
    </r>
    <r>
      <rPr>
        <rFont val="Arial"/>
        <b/>
        <color rgb="FF000000"/>
        <sz val="11.0"/>
      </rPr>
      <t>Garantia:</t>
    </r>
    <r>
      <rPr>
        <rFont val="Arial"/>
        <color rgb="FF000000"/>
        <sz val="11.0"/>
      </rPr>
      <t xml:space="preserve"> todos los productos cuentan con garantia. La garantia se hace efectiva con el equipo enviado a nuestros laboratorios en CABA. 
7) </t>
    </r>
    <r>
      <rPr>
        <rFont val="Arial"/>
        <b/>
        <color rgb="FF000000"/>
        <sz val="11.0"/>
      </rPr>
      <t>Minimo de compra:</t>
    </r>
    <r>
      <rPr>
        <rFont val="Arial"/>
        <color rgb="FF000000"/>
        <sz val="11.0"/>
      </rPr>
      <t xml:space="preserve"> USD 1000 + IVA
</t>
    </r>
  </si>
  <si>
    <t xml:space="preserve">Ultimas actualizaciones </t>
  </si>
  <si>
    <t>06/5: ingresan hibridos DEYE y algunos con disminucion de precios. Ingresan baterias DEYE F12 y F16</t>
  </si>
  <si>
    <t>11/5: reduccion precio huawei 150kw</t>
  </si>
  <si>
    <t>12/5: ingresa jinko bifacial 620w buen precio</t>
  </si>
  <si>
    <t>13/5: Opcion de impo contenedor entero de paneles a pedido. Consultar</t>
  </si>
  <si>
    <t>22/5: ingresa estructura coplanar sunsolar</t>
  </si>
  <si>
    <t>27/5: ingresn paneles jino y ja solar en buen precio minimo 3 pallet</t>
  </si>
  <si>
    <t>01/06: aviso de aumento de paneles desde china</t>
  </si>
  <si>
    <t>01/06: NOVEDAD INGRESAN INVERSORES ON GRID SUNGROW</t>
  </si>
  <si>
    <t>03/06: poco stock baterias pro b de deye</t>
  </si>
  <si>
    <t>08/06: ingresa bateria HOPE 16.0 (16KWH) compatible con inversores SPF</t>
  </si>
  <si>
    <t>10/6: PANELES ASTROENERGY PRECIAZO X PALLET CERRADO EN LIQUIDACION</t>
  </si>
  <si>
    <t>Codigo</t>
  </si>
  <si>
    <t>DISPONIBILIDAD TENTATIVA. STOCK Y PRECIO A CONFIRMAR POR WHATSAPP</t>
  </si>
  <si>
    <t>PRODUCTO</t>
  </si>
  <si>
    <t>PANELES</t>
  </si>
  <si>
    <t>link de descarga</t>
  </si>
  <si>
    <t>INVERSORES ON GRID SUNGROW</t>
  </si>
  <si>
    <t>INVERSORES ON GRID GOODWE</t>
  </si>
  <si>
    <t xml:space="preserve">INVERSORES ON GRID  HUAWEI </t>
  </si>
  <si>
    <t>INVERSORES VOLTRONIC</t>
  </si>
  <si>
    <r>
      <rPr>
        <rFont val="Arial"/>
        <b/>
        <color rgb="FF000000"/>
        <sz val="11.0"/>
      </rPr>
      <t xml:space="preserve">INVERSORES ON GRID DEYE - </t>
    </r>
    <r>
      <rPr>
        <rFont val="Arial"/>
        <b/>
        <color rgb="FFFFFF00"/>
        <sz val="11.0"/>
      </rPr>
      <t>ATENCION METER!</t>
    </r>
  </si>
  <si>
    <r>
      <rPr>
        <rFont val="Arial"/>
        <b/>
        <color rgb="FF000000"/>
        <sz val="11.0"/>
      </rPr>
      <t xml:space="preserve">ACCESORIOS PARA INVERSORES DEYE- </t>
    </r>
    <r>
      <rPr>
        <rFont val="Arial"/>
        <b/>
        <color rgb="FFFFFF00"/>
        <sz val="11.0"/>
      </rPr>
      <t>SOLO CON COMPRA DE INVERSOR!</t>
    </r>
  </si>
  <si>
    <t xml:space="preserve">INVERSORES ON GRID GROWATT </t>
  </si>
  <si>
    <r>
      <rPr>
        <rFont val="Arial"/>
        <b/>
        <color rgb="FF000000"/>
        <sz val="11.0"/>
      </rPr>
      <t xml:space="preserve">ACCESORIOS GROWATT </t>
    </r>
    <r>
      <rPr>
        <rFont val="Arial"/>
        <b/>
        <color rgb="FFFFFF00"/>
        <sz val="11.0"/>
      </rPr>
      <t>SOLO CON COMPRA DE INVERSORES!</t>
    </r>
  </si>
  <si>
    <t>INVERSORES OFF GRID GROWATT</t>
  </si>
  <si>
    <t>INVERSORES OFF GRID GOODWE</t>
  </si>
  <si>
    <t>INVERSORES OFF GRID DEYE</t>
  </si>
  <si>
    <t xml:space="preserve">INVERSORES HIBRIDOS GOODWE </t>
  </si>
  <si>
    <r>
      <rPr>
        <rFont val="Arial"/>
        <b/>
        <color rgb="FF000000"/>
        <sz val="11.0"/>
      </rPr>
      <t>INVERSORES HIBRIDOS DEYE</t>
    </r>
    <r>
      <rPr>
        <rFont val="Arial"/>
        <b/>
        <color rgb="FFFF9900"/>
        <sz val="11.0"/>
      </rPr>
      <t>.</t>
    </r>
    <r>
      <rPr>
        <rFont val="Arial"/>
        <b/>
        <color rgb="FF0000FF"/>
        <sz val="11.0"/>
      </rPr>
      <t xml:space="preserve"> Consultar descuentos x compras arriba de 20.000 en conjunto con baterias DEYE</t>
    </r>
  </si>
  <si>
    <t xml:space="preserve">SISTEMAS BESS DEYE (A PEDIDO / PRECIO REFERENCIAL) </t>
  </si>
  <si>
    <t>INVERSORES HIBRIDOS GROWATT</t>
  </si>
  <si>
    <t>INVERSORES ON GRID BATTERY READY GROWATT</t>
  </si>
  <si>
    <r>
      <rPr>
        <rFont val="Arial"/>
        <b/>
        <color rgb="FF000000"/>
        <sz val="11.0"/>
      </rPr>
      <t xml:space="preserve"> BATERIAS LITIO DEYE. </t>
    </r>
    <r>
      <rPr>
        <rFont val="Arial"/>
        <b/>
        <color rgb="FFFF0000"/>
        <sz val="11.0"/>
      </rPr>
      <t>Consultar descuentos x compras arriba de 20.000 en conjunto con inversores DEYE</t>
    </r>
  </si>
  <si>
    <t xml:space="preserve">CONTROLADORES Y RACKS DEYE </t>
  </si>
  <si>
    <t xml:space="preserve"> BATERIAS LITIO GOODWE </t>
  </si>
  <si>
    <t xml:space="preserve"> BATERIAS LITIO PYLONTECH</t>
  </si>
  <si>
    <t xml:space="preserve"> BATERIAS LITIO GROWATT</t>
  </si>
  <si>
    <t xml:space="preserve"> BATERIAS LITIO DYNESS (Click aqui para inversores compatibles)</t>
  </si>
  <si>
    <t xml:space="preserve"> BATERIAS LITIO HUAWEI</t>
  </si>
  <si>
    <t xml:space="preserve"> BATERIAS LITIO BLUNERY (compatibles con DEYE y otros)</t>
  </si>
  <si>
    <t xml:space="preserve"> BATERIAS GEL </t>
  </si>
  <si>
    <t xml:space="preserve"> BATERIAS AGM</t>
  </si>
  <si>
    <t xml:space="preserve"> BATERIAS LIQUIDAS DE ALTO CICLADO</t>
  </si>
  <si>
    <t>CABLES para DC</t>
  </si>
  <si>
    <t>CABLES para AC</t>
  </si>
  <si>
    <t>PROTECCIONES - MC4. (compra minima USD 500 + IVA)</t>
  </si>
  <si>
    <t>ESTRUCTURA PARA PISO FABRICACION NACIONAL (60 DIAS CORRIDOS DE FABRICACION ARRIBA DE 100KW)</t>
  </si>
  <si>
    <t>ESTRUCTURAS SOLAR GROUP (BRASIL)</t>
  </si>
  <si>
    <t>ESTRUCTURAS SUNSOLAR IMPORTADAS</t>
  </si>
  <si>
    <t>ESTRUCTURAS MIBET IMPORTADAS</t>
  </si>
  <si>
    <t>ESTRUCTURAS HE IMPORTADAS</t>
  </si>
  <si>
    <r>
      <rPr>
        <rFont val="Arial"/>
        <b/>
        <color rgb="FF000000"/>
        <sz val="11.0"/>
      </rPr>
      <t xml:space="preserve">BOMBAS SOLARES HYKO PUMP (GAR: 2 AÑOS) - </t>
    </r>
    <r>
      <rPr>
        <rFont val="Arial"/>
        <b/>
        <color rgb="FFFF0000"/>
        <sz val="11.0"/>
      </rPr>
      <t>-5 a 10 dias habiles para despachar</t>
    </r>
  </si>
  <si>
    <t>BOMBAS SOLARES GRUNDFOS</t>
  </si>
  <si>
    <t>CARGADORES DE VEHICULOS ELECTRICOS</t>
  </si>
  <si>
    <t xml:space="preserve">MOTORHOME </t>
  </si>
  <si>
    <t>HELADERAS SOLARES</t>
  </si>
  <si>
    <t>605,78</t>
  </si>
  <si>
    <t>607,43</t>
  </si>
  <si>
    <t>729,75</t>
  </si>
  <si>
    <t>1295,04</t>
  </si>
  <si>
    <t xml:space="preserve"> </t>
  </si>
  <si>
    <t>N</t>
  </si>
  <si>
    <t>INMEDIATO</t>
  </si>
  <si>
    <t xml:space="preserve">LONGI - 430w HiMOX6-LR5-54HTB (USD/watt) </t>
  </si>
  <si>
    <t xml:space="preserve">LONGI - 645w LR7-72HVH  N-Type HPBC 2.0, HI-MO X10  (USD/watt)  . se vende por unidad  15% mas caro. </t>
  </si>
  <si>
    <t>PC</t>
  </si>
  <si>
    <t xml:space="preserve">LONGI - 610w BIFACIAL (USD/watt) - se vende por unidad  15% mas caro. </t>
  </si>
  <si>
    <t>AR</t>
  </si>
  <si>
    <t>SIN FECHA ESTIMADA</t>
  </si>
  <si>
    <t xml:space="preserve">TRINA - BIFACIAL 570 (USD/watt).- se vende pallet cerrado </t>
  </si>
  <si>
    <t>A</t>
  </si>
  <si>
    <t>TRINA - BIFACIAL 605w TIPO N (USD/watt)- se vende pallet cerrado</t>
  </si>
  <si>
    <t>AM</t>
  </si>
  <si>
    <t xml:space="preserve">TRINA - BIFACIAL 615w TIPO N (USD/watt)- se vende pallet cerrado </t>
  </si>
  <si>
    <t xml:space="preserve">TRINA - MONOFACIAL 620w TIPO N (USD/watt)- se vende pallet cerrado </t>
  </si>
  <si>
    <t>LIQUIDACION. Quedan 9 unidades</t>
  </si>
  <si>
    <t>TRINA - BIFACIAL 630w TIPO N (USD/watt)- se vende pallet cerrrado (o por unidad con costo de flete al transporte de usd 35+iva por entrega total)</t>
  </si>
  <si>
    <t>(+10RJ) -1 aristides -</t>
  </si>
  <si>
    <t>TRINA - MONOFACIAL 670w (USD/watt).- se vende pallet cerrado. Se entrega en transporte en Cordoba</t>
  </si>
  <si>
    <t>R</t>
  </si>
  <si>
    <t>TRINA - BIFACIAL 715 (USD/watt).- se vende pallet cerrado. Se retira por depo Soldati o va a transporte en CTC</t>
  </si>
  <si>
    <t xml:space="preserve">M </t>
  </si>
  <si>
    <t>JINKO - M/M 475w TIGER NEO JKM475-60HL4. se vende pallet cerrado o por unidad 30% mas caro</t>
  </si>
  <si>
    <t>S</t>
  </si>
  <si>
    <t>LIQUIDACION. Quedan 5 unidades</t>
  </si>
  <si>
    <t>JINKO - BIFACIAL 585 w 72HL4-BDV  (USD/watt)- Se retiran por depo soldati</t>
  </si>
  <si>
    <t>(+5RJ)</t>
  </si>
  <si>
    <t>JINKO - MONOF 585 w 72HL4-BDV  (USD/watt)- Se envia a transporte en Cordoba</t>
  </si>
  <si>
    <t>IMPO: 90 a 120 dias corridos</t>
  </si>
  <si>
    <t>JINKO - BIF 725 w TIPO N (USD/watt) se vende contenedor entero (20 pallet de 33 u)</t>
  </si>
  <si>
    <t>B</t>
  </si>
  <si>
    <t xml:space="preserve">JINKO - BIFACIAL TIPO N, 620w(USD/watt)-se vende por unidad 32% mas caro. </t>
  </si>
  <si>
    <t>JINKO - M/M TOPcon, 715w(USD/watt)-se vende palet cerrado</t>
  </si>
  <si>
    <t>JA SOLAR - BIFACIAL 600w - se vende pallet cerrado</t>
  </si>
  <si>
    <t xml:space="preserve">TRINA - BiFACIAL 620w TIPO N  (USD/watt)-se vende pallet cerrado  -  </t>
  </si>
  <si>
    <t>INMEDIATO. 5 a 10 dias habiles para despachar</t>
  </si>
  <si>
    <t>LUXEN 144C. Mono Serie 4  410Wp PERC- se vende por unidad 2.5% mas caro (35mm) -5 a 10 dias habiles para despachar</t>
  </si>
  <si>
    <t>LUXEN 144C. Mono Serie 5 550Wp PERC (35mm)- se vende por unidad 2.5% mas caro - 5 a 10 dias habiles para despachar</t>
  </si>
  <si>
    <t>LUXEN - 144C. M/M . Serie 5  550Wp PERC BLACK (35mm)- se vende por unidad 2.5% mas caro - 5 a 10 dias habiles para despachar</t>
  </si>
  <si>
    <t>INMEDIATO. Se vende por unidad</t>
  </si>
  <si>
    <t>LUXEN - 132C. M/M N5 585Wp TOPcon- se vende por unidad 2.5% mas caro  - 5 a 10 dias habiles para despachar</t>
  </si>
  <si>
    <t>LUXEN - 132C. N5 RECT 585Wp TOPCon GoG bifacial - se vende por unidad 2.5% mas caro (36u x pallet) - 5 a 10 dias habiles para despachar</t>
  </si>
  <si>
    <t>LUXEN 144C. Mono N5 RECT 630Wp TOPCon- se vende por unidad 2.5% mas caro. - 5 a 10 dias habiles para despachar</t>
  </si>
  <si>
    <t>LUXEN - 132C. Mono N6 700Wp TOPCon GoG Bifacial- se vende por unidad 2.5% mas caro (34u x pallet) - 5 a 10 dias habiles para despachar</t>
  </si>
  <si>
    <t>LIQUIDACION PALLET CERRADO</t>
  </si>
  <si>
    <t>ASTROENERGY - BIFACIAL 144 CEL. N TYPE 575W CABLE 1.4M. Se vende pallet cerrado. Se entrega en transporte en Cordoba</t>
  </si>
  <si>
    <t>LIQUIDACION. Quedan 2 unidades</t>
  </si>
  <si>
    <t>ASTROENERGY - BIFACIAL 144 CEL. N TYPE 585W - se vende por unidad. Se entrega en depo soldati u oficina DOT</t>
  </si>
  <si>
    <t>(+1RJ)(+1 DOT)</t>
  </si>
  <si>
    <t>M</t>
  </si>
  <si>
    <t xml:space="preserve">ASTROENERGY - 615w -N7_CHSM66RN(DG)F-BH dual glass - BIFACIAL. Se retira por depo Soldati </t>
  </si>
  <si>
    <t>CB</t>
  </si>
  <si>
    <t>AMERISOLAR- Policristalino 340w. Pallet 36 unidades. se vende pallet cerrado</t>
  </si>
  <si>
    <t>BC</t>
  </si>
  <si>
    <t>AMERISOLAR - MONOCRISTALINO AS-7M108N-HC-440W. se vende por unidad 32% mas caro. 36u x pallet -Entrega gratis en GBA.</t>
  </si>
  <si>
    <t>BCV</t>
  </si>
  <si>
    <t>AMERISOLAR - MONOCRISTALINO  AS-7M144-HC-555W. se vende por unidad 32% mas caro. -Entrega gratis en GBA.</t>
  </si>
  <si>
    <t>AMERISOLAR - MONOCRISTALINO  AS-7M144-HC-580W. precio pallet cerrado. Entrega gratis en GBA. Por unidad 30% mas caro</t>
  </si>
  <si>
    <t xml:space="preserve">AMERISOLAR - MONOCRISTALINO AS-8M120-HC-600W. se vende por unidad 30% mas caro. </t>
  </si>
  <si>
    <t>INMEDIATO. Quedan 28 unidades se venden juntas</t>
  </si>
  <si>
    <t>SUNPRO - Monoc, TOPCON,  SPDG585-N144M10-585W con Marco Negro. BIFACIAL. se venden las 28 unidades juntas</t>
  </si>
  <si>
    <t>HAITAI - Monocristalino, media celda,  Anti LID HTM585DMH5-72NT-585W. Pallet 36 unidades.  se vende por unidad 32% mas caro.</t>
  </si>
  <si>
    <t>INGRESA ABRIL</t>
  </si>
  <si>
    <t>HAITAI - Monocristalino, media celda, HTM415MH5-54 415W. Pallet 36 unidades.  se vende por unidad 32% mas caro.</t>
  </si>
  <si>
    <t>HAITAI, Monocristalino, media celda, Anti LID, Bifacial, HTM630DMH6-66NT BIFACIAL 630W. Pallet 36 unidades.se vende por unidad 32% mas caro</t>
  </si>
  <si>
    <t>TLC - Anti LID TCL-MI585 DH182-72NT 585W BIFACIAL. Pallet 36 unidades.  se vende por unidad 32% mas caro</t>
  </si>
  <si>
    <t>NUUKO - monof 550w (pallet 31 u) - se vende minimo 10 u</t>
  </si>
  <si>
    <t>NUUKO - bif 615w topcon (pallet 36 u) - se vende minimo 10 u</t>
  </si>
  <si>
    <t>39-1</t>
  </si>
  <si>
    <t xml:space="preserve">Inversor On-Grid SunGrow Trifasico 15 KW </t>
  </si>
  <si>
    <t>39-2</t>
  </si>
  <si>
    <t xml:space="preserve">Inversor On-Grid SunGrow Trifasico 20 KW </t>
  </si>
  <si>
    <t>39-3</t>
  </si>
  <si>
    <t xml:space="preserve">Inversor On-Grid SunGrow Trifasico 25 KW </t>
  </si>
  <si>
    <t>39-4</t>
  </si>
  <si>
    <t xml:space="preserve">Inversor On-Grid SunGrow Trifasico 30 KW </t>
  </si>
  <si>
    <t>39-5</t>
  </si>
  <si>
    <t xml:space="preserve">Inversor On-Grid SunGrow Trifasico 40 KW </t>
  </si>
  <si>
    <t>39-6</t>
  </si>
  <si>
    <t xml:space="preserve">Inversor On-Grid SunGrow Trifasico 50 KW </t>
  </si>
  <si>
    <t>39-7</t>
  </si>
  <si>
    <t xml:space="preserve">Inversor On-Grid SunGrow Trifasico 75 KW </t>
  </si>
  <si>
    <t>39-8</t>
  </si>
  <si>
    <t xml:space="preserve">Inversor On-Grid SunGrow Trifasico 110 KW </t>
  </si>
  <si>
    <t>39-9</t>
  </si>
  <si>
    <t xml:space="preserve">Inversor On-Grid SunGrow Trifasico 250 KW </t>
  </si>
  <si>
    <t>39-10</t>
  </si>
  <si>
    <t xml:space="preserve">Inversor On-Grid SunGrow Trifasico 333 KW </t>
  </si>
  <si>
    <t>L</t>
  </si>
  <si>
    <t>Inversor de inyección a red GOODWE 1500W Monof. (GW1500 - XS-30)</t>
  </si>
  <si>
    <t xml:space="preserve">INMEDIATO </t>
  </si>
  <si>
    <t>IMicronversor de inyección a red GOODWE 2000w Monof. (GW2000-MIS)</t>
  </si>
  <si>
    <t>Inversor de inyección a red GOODWE 3600W Monof. c/AFCI (GW3.6K-DNS-G40)</t>
  </si>
  <si>
    <t>CL</t>
  </si>
  <si>
    <t xml:space="preserve">Inversor de inyección a red GOODWE 6000W Trif. c/AFCI </t>
  </si>
  <si>
    <t>/ VLC</t>
  </si>
  <si>
    <t xml:space="preserve">Inversor de inyección a red GOODWE 10kW Trif. (10K-SDT30) </t>
  </si>
  <si>
    <t xml:space="preserve">Inversor de inyección a red GOODWE 12kW Trif. c/Wifi </t>
  </si>
  <si>
    <t>/ LC</t>
  </si>
  <si>
    <t>Inversor de inyección a red GOODWE 15kW Trif.  (15K-SDT-30)</t>
  </si>
  <si>
    <t>Inversor de inyección a red GOODWE 20kW Trif.(20K-SDT-30)</t>
  </si>
  <si>
    <t>/ ML</t>
  </si>
  <si>
    <t>Inversor de inyección a red GOODWE 25kW Trif. c/AFCI (25K-SDT-C30-AFCI)</t>
  </si>
  <si>
    <t>C/ ML</t>
  </si>
  <si>
    <t>Inversor de inyección a red GOODWE 30kW Trif. c/AFCI (30K-SDT-C30-AFCI)</t>
  </si>
  <si>
    <t>Inversor de inyección a red GOODWE 33kW Trif. c/AFCI (30K-SDT-C30-AFCI)</t>
  </si>
  <si>
    <t>/ MVL</t>
  </si>
  <si>
    <t>Inversor de inyección a red GOODWE 36kW Trif. c/AFCI (30K-SDT-C30-AFCI)</t>
  </si>
  <si>
    <t>/ L</t>
  </si>
  <si>
    <t>Inversor de inyección a red GOODWE 40kW Trif. c/AFCI (40K-SDT-C30-AFCI)</t>
  </si>
  <si>
    <t xml:space="preserve">Inversor de inyección a red GOODWE 30kW Trif. MT (30K-MT) </t>
  </si>
  <si>
    <t>/</t>
  </si>
  <si>
    <t>Inversor de inyección a red GOODWE 50kW Trif. AFCI</t>
  </si>
  <si>
    <t>Inversor de inyección a red GOODWE 60kW Trif. AFCI (GW 60KS-MT-AFCI)</t>
  </si>
  <si>
    <t>/ VL</t>
  </si>
  <si>
    <t>Inversor de inyección a red GOODWE 80kW Trif. c/ AFCI (GW80K-SMT-AFCI)</t>
  </si>
  <si>
    <t>Inversor de inyección a red GOODWE 100kW Trif. (GW100K GT). Se entrega en transporte en Rosario</t>
  </si>
  <si>
    <t>Inversor de inyección a red GOODWE 110kW Trif. C/AFCI</t>
  </si>
  <si>
    <t>Inversor de inyección a red GOODWE 100KW Trifasico AFCI</t>
  </si>
  <si>
    <t>C</t>
  </si>
  <si>
    <t>Inversor de inyección a red GOODWE 50kW  GW50K-SDT-C30</t>
  </si>
  <si>
    <t>Inversor de inyección a red GOODWE 125KW Trifasico. (GW100K GT). Se entrega en transporte en Rosario</t>
  </si>
  <si>
    <t>Smart meter GMK110 monofasico</t>
  </si>
  <si>
    <t xml:space="preserve">Smart meter GMK330 trifasico </t>
  </si>
  <si>
    <t>1R</t>
  </si>
  <si>
    <t>INVERSOR TRIFASICO HUAWEI SUN2000-40KTL-M3</t>
  </si>
  <si>
    <t>INVERSOR TRIFASICO HUAWEI SUN2000-50KTL-M3</t>
  </si>
  <si>
    <t>INVERSOR TRIFASICO HUAWEI SUN2000-100KTL M2-</t>
  </si>
  <si>
    <t xml:space="preserve">INVERSOR TRIFASICO HUAWEI SUN2000-150K-MG0 - </t>
  </si>
  <si>
    <t>INVERSOR TRIFASICO 6MPPT 800V 330KW HUAWEI</t>
  </si>
  <si>
    <t>Huawei SmartPS-250A-T0 - Smart Power Sensor</t>
  </si>
  <si>
    <t>Huawei SDongleA-05</t>
  </si>
  <si>
    <t>DongleB-06-AU - Dongle 4G</t>
  </si>
  <si>
    <t>F</t>
  </si>
  <si>
    <t>INVERSOR OFF GRID - AXPERT VM 2KW</t>
  </si>
  <si>
    <t xml:space="preserve">VOLTRONIC AXPERT VM 1kW </t>
  </si>
  <si>
    <t>J</t>
  </si>
  <si>
    <t>VOLTRONIC AXPERT VP 3kW (24V ‐ PWM.)</t>
  </si>
  <si>
    <t>VOLTRONIC AXPERT VMIII 3kW (24V. Alta tensión de paneles. MPPT. Modo SUB.)</t>
  </si>
  <si>
    <t>VOLTRONIC AXPERT VMIV 5,6kW (48V. Alta tensión de paneles. MPPT. Modo SUB.)</t>
  </si>
  <si>
    <t>VOLTRONIC AXPERT MAX 7,2kW (48V. Alta tensión de paneles. 2xMPPT. Modo SUB.)</t>
  </si>
  <si>
    <t>Módulo WiFi para Axpert VMIII</t>
  </si>
  <si>
    <r>
      <rPr>
        <rFont val="Arial"/>
        <b/>
        <color rgb="FF000000"/>
        <sz val="11.0"/>
      </rPr>
      <t xml:space="preserve">INVERSORES ON GRID DEYE - </t>
    </r>
    <r>
      <rPr>
        <rFont val="Arial"/>
        <b/>
        <color rgb="FFFFFF00"/>
        <sz val="11.0"/>
      </rPr>
      <t>ATENCION METER!</t>
    </r>
  </si>
  <si>
    <t>G</t>
  </si>
  <si>
    <t>Microinversor 1000W 2MPPT Mono c/Wifi DEYE (SUN-M100G4-EU-Q0)</t>
  </si>
  <si>
    <t>79-1</t>
  </si>
  <si>
    <t>INGRESA MAYO</t>
  </si>
  <si>
    <t>Microinversor 2250W 4MPPT Mono c/Wifi c/ Zero Export DEYE (SUN-M225G4-EU-Q0-I)</t>
  </si>
  <si>
    <t>1G</t>
  </si>
  <si>
    <t>On Grid 3KVA 1MPPT Mono c/CT y Wifi DEYE  (SUN-3K-G04LP1-EU-AM1)</t>
  </si>
  <si>
    <t>80-1</t>
  </si>
  <si>
    <t>On Grid 5kW 2MPPT Mono c/CT y WiFi DEYE (SUN-5K-G05LP1-EU-AM2)</t>
  </si>
  <si>
    <t>1GEJ</t>
  </si>
  <si>
    <t>On Grid 6KVA 2MPPT Mono con meter c/ WiFi DEYE  (SUN-6K-G05LP1-EU-AM2)</t>
  </si>
  <si>
    <t>GEJ</t>
  </si>
  <si>
    <t>On Grid 6kW 2MPPT Trif c/WiFi s/Meter DEYE(SUN-6K-G06P3-EU-AM2-P1)</t>
  </si>
  <si>
    <t>INGRESA JULIO</t>
  </si>
  <si>
    <t>On Grid 10KVA 2MPPT Trif SIN Meter y WiFi DEYE (SUN-10K-G06P3-EU-BM2-P1)</t>
  </si>
  <si>
    <t>On Grid 15KVA 2MPPT Trif SIN Meter y WiFi DEYE  (SUN-15K-G06P3-EU-AM2-P1)</t>
  </si>
  <si>
    <t xml:space="preserve">On Grid 20KVA 2MPPT Trif SIN Meter y WiFi DEYE  (SUN-20K-G05) </t>
  </si>
  <si>
    <t>JG1</t>
  </si>
  <si>
    <t>INMEDIATO. JULIO MAS BARATO</t>
  </si>
  <si>
    <t>On Grid 30KVA 2MPPT Trif SIN Meter y WiFi DEYE  (SUN-30K-G04)</t>
  </si>
  <si>
    <t>On Grid 40KVA Trif SIN Meter y WiFi DEYE  (SUN-40K-G03)</t>
  </si>
  <si>
    <t>G1J</t>
  </si>
  <si>
    <t>On Grid 50kW 4MPPT  DEYE (SUN-50K-G04)</t>
  </si>
  <si>
    <t>On Grid 75kW  DEYE (SUN-75K-G) SIN METER SIN WIFI</t>
  </si>
  <si>
    <t>On Grid 80kW 6MPPT Trif c/ AFCI , SIN Meter y WiFi DEYE (SUN-80K-G03)</t>
  </si>
  <si>
    <t>GJ</t>
  </si>
  <si>
    <t xml:space="preserve">On Grid 100KVA 6MPPT Trif SIN Meter y WiFi DEYE  (SUN-100K-G03) </t>
  </si>
  <si>
    <t>On Grid 125KVA 8MPPT Trif SIN Meter y WiFi DEYE  (SUN-125K-G01P3-EU-AM8)</t>
  </si>
  <si>
    <t>On Grid 136kW 8MPPT Trif SIN Meter y WiFi DEYE (SUN-136K-G01P3-EU-AM8)</t>
  </si>
  <si>
    <t>ACCESORIOS PARA INVERSORES DEYE- SOLO CON COMPRA DE INVERSOR</t>
  </si>
  <si>
    <t>Meter directo Monofasico 100A EASTRON (SDM230 Modb V1 (100A))</t>
  </si>
  <si>
    <t>Meter directo Trifasico 100A EASTRON (SDM630 Modb V2 (100A))</t>
  </si>
  <si>
    <t>Meter para pinzas Trifasico c/ CT 250A d24 EASTRON (SDM630MCT-ETL+T24 250A/1A)</t>
  </si>
  <si>
    <t>Meter para pinzas Trifasico c/ CT 500A d24 EASTRON (SDM 630MCT-ETL+T24 500A/1A))</t>
  </si>
  <si>
    <t>Meter para pinzas Trifasico c/ CT 630A d36 EASTRON (SDM630MCT-ETL+T36 630A/1A))</t>
  </si>
  <si>
    <t>Smart Transceptor Lora DEYE (SUN-SMART-TX01)</t>
  </si>
  <si>
    <t>Smart Meter CT Mono Tri Lora DEYE (SUN-SMART-CT01)</t>
  </si>
  <si>
    <t>INVERSORES ON GRID GROWATT (consultar precios por whatsap ya que estamos ajustando precios para esta marca)</t>
  </si>
  <si>
    <t>BL</t>
  </si>
  <si>
    <t xml:space="preserve">INVERSOR ON-GRID MONOFÁSICO GROWATT MIC-1500TL-X </t>
  </si>
  <si>
    <t>INVERSOR ON-GRID MONOFÁSICO GROWATT MIN 2500TL-X2 Inc. Ant. WIFI X</t>
  </si>
  <si>
    <t>INVERSOR ON-GRID MONOFÁSICO GROWATT MIC-2000TL-X2 wifi x</t>
  </si>
  <si>
    <t>MA</t>
  </si>
  <si>
    <t>INVERSOR ON-GRID MONOFÁSICO GROWATT MIN 3000TL-X2 incl wifi</t>
  </si>
  <si>
    <t>CBAL</t>
  </si>
  <si>
    <t>INVERSOR GROWATT MONOFASICO ON GRID - MIC3000TL-X2 incl wifi</t>
  </si>
  <si>
    <t>INVERSOR ON-GRID MONOFÁSICO GROWATT MIC-3300TL-X</t>
  </si>
  <si>
    <t>MBL</t>
  </si>
  <si>
    <t>INVERSOR ON-GRID MONOFÁSICO 4200W, MIN4200TL-X</t>
  </si>
  <si>
    <t>CBML</t>
  </si>
  <si>
    <t>INVERSOR ON-GRID MONOFÁSICO 5000W, MIN5000TL-X2 incl ant wifi</t>
  </si>
  <si>
    <t>CV</t>
  </si>
  <si>
    <t>INVERSOR ON-GRID MONOFÁSICO 5000W, MIN5000TL-X</t>
  </si>
  <si>
    <t>BML</t>
  </si>
  <si>
    <t>INVERSOR GROWATT MONOFASICO ON GRID MIN 6000 TL-X2 incl ant wifi</t>
  </si>
  <si>
    <t>INVERSOR GROWATT TRIFÁSICO ON GRID MOD4000TL3-X</t>
  </si>
  <si>
    <t>CM</t>
  </si>
  <si>
    <t>INVERSOR GROWATT TRIFÁSICO ON GRID MOD5000TL3-X inc wifi</t>
  </si>
  <si>
    <t>ABML</t>
  </si>
  <si>
    <t xml:space="preserve">INVERSOR GROWATT TRIFASICO ON GRID MOD 6000 TL3-X </t>
  </si>
  <si>
    <t>INVERSOR GROWATT MONOFASICO ON GRID MIN10000 TL-X2</t>
  </si>
  <si>
    <t>INVERSOR GROWATT TRIFASICO ON GRID MOD 8000 TL3-X incl wifi</t>
  </si>
  <si>
    <t>BACM</t>
  </si>
  <si>
    <t>INVERSOR GROWATT TRIFASICO ON GRID MOD 10000 TL3-X</t>
  </si>
  <si>
    <t>CBM</t>
  </si>
  <si>
    <t>INVERSOR GROWATT TRIFASICO ON GRID MOD 10000 TL3-X2 PRO Incl. Ant. WIFI X</t>
  </si>
  <si>
    <t>INVERSOR GROWATT TRIFASICO ON GRID MOD 15000 TL3-X2 PRO incl wifi</t>
  </si>
  <si>
    <t>MB</t>
  </si>
  <si>
    <t xml:space="preserve">INVERSOR ON-GRID TRIFÁSICO GROWATT MID15KTL3-X  incl wifi. </t>
  </si>
  <si>
    <t xml:space="preserve">INVERSOR ON-GRID TRIFÁSICO GROWATT MID20KTL3-X2 - </t>
  </si>
  <si>
    <t>ABM</t>
  </si>
  <si>
    <t>INVERSOR GROWATT TRIFASICO ON GRID MID 25KTL3-X - PROMO</t>
  </si>
  <si>
    <t>INVERSOR ON-GRID TRIFÁSICO GROWATT MID30KTL3-X2 inc wifi.afci</t>
  </si>
  <si>
    <t>AB</t>
  </si>
  <si>
    <t>INVERSOR GROWATT TRIFASICO ON GRID MID 40KTL3-X</t>
  </si>
  <si>
    <t>INVERSOR GROWATT TRIFASICO ON GRID MID 40KTL3-X2</t>
  </si>
  <si>
    <t>CABM</t>
  </si>
  <si>
    <t>INVERSOR ON-GRID TRIFÁSICO GROWATT MAC50KTL3-XLV con 3MPPT - LIQUIDACION</t>
  </si>
  <si>
    <t>cA</t>
  </si>
  <si>
    <t>INVERSOR ON-GRID TRIFÁSICO GROWATT MAX50KTL3-LV con 6MPPT - LIQUIDACION</t>
  </si>
  <si>
    <t>CBAM</t>
  </si>
  <si>
    <t xml:space="preserve">INVERSOR ON-GRID TRIFÁSICO GROWATT MID50KTL3-X2 con 4MPPT AFCI </t>
  </si>
  <si>
    <t xml:space="preserve">INVERSOR ON-GRID TRIFÁSICO GROWATT MAX60KTL3-XLV con 6 MPPT AFCI INC WIFI </t>
  </si>
  <si>
    <t>BM</t>
  </si>
  <si>
    <t xml:space="preserve">INVERSOR ON-GRID TRIFÁSICO GROWATT MAX60KTL3-XLV con 6 MPPT  - </t>
  </si>
  <si>
    <t>INVERSOR ON-GRID TRIFÁSICO GROWATT MAX60KTL3-LV  - PROMO</t>
  </si>
  <si>
    <t>ABMC</t>
  </si>
  <si>
    <t xml:space="preserve">INVERSOR ON-GRID TRIFÁSICO GROWATT MAX80KTL3 LV </t>
  </si>
  <si>
    <t>MC</t>
  </si>
  <si>
    <t>INVERSOR ON-GRID TRIFÁSICO GROWATT MAX80KTL3 LV (AFCI) INC WIFI</t>
  </si>
  <si>
    <t>INVERSOR ON-GRID TRIFÁSICO GROWATT MAX100KTL3-X2 LV (AFCI) Incl. Ant. WIFI X</t>
  </si>
  <si>
    <t>CBL</t>
  </si>
  <si>
    <t xml:space="preserve">INVERSOR ON-GRID TRIFÁSICO GROWATT MAX110KTL3-X2 LV  - </t>
  </si>
  <si>
    <t>ACL</t>
  </si>
  <si>
    <t xml:space="preserve">INVERSOR GROWATT TRIFASICO MAX125KTL3- LV </t>
  </si>
  <si>
    <t>CBA</t>
  </si>
  <si>
    <t xml:space="preserve">INVERSOR GROWATT TRIFASICO MAX125KTL3-X2 LV AFCI - </t>
  </si>
  <si>
    <t>ACCESORIOS GROWATT</t>
  </si>
  <si>
    <t>BCM</t>
  </si>
  <si>
    <t>SISTEMA DE COMUNICACIÓN GROWATT - SHINE WIFI-X - 4G</t>
  </si>
  <si>
    <t xml:space="preserve">SISTEMA DE COMUNICACIÓN GROWATT - SHINE WIFI-X </t>
  </si>
  <si>
    <t>LABMC</t>
  </si>
  <si>
    <t>SISTEMA DE COMUNICACIÓN GROWATT - SHINE WIFI-F</t>
  </si>
  <si>
    <t>AMC</t>
  </si>
  <si>
    <t>SISTEMA DE COMUNICACIÓN GROWATT - SHINE LAN-X</t>
  </si>
  <si>
    <t>Shinemaster Growatt</t>
  </si>
  <si>
    <t>Smart Energy Meter Growatt</t>
  </si>
  <si>
    <t xml:space="preserve">battery hub </t>
  </si>
  <si>
    <t xml:space="preserve">Limitador de inyeccion MONOFASICO, Modelo Growatt SPM - E, (CHINT o eastron), </t>
  </si>
  <si>
    <t>AC</t>
  </si>
  <si>
    <t>Limitador de inyeccion MONOFASICO, Modelo Growatt SPM-CT-E , censado mediante CT</t>
  </si>
  <si>
    <t>AMCB</t>
  </si>
  <si>
    <t xml:space="preserve">Limitador de inyeccion TRIFASICO, Modelo Growatt TPM - E, (eastron), </t>
  </si>
  <si>
    <t>Limitador de inyección Growatt TPM-CT-E(250A) trifásico</t>
  </si>
  <si>
    <t xml:space="preserve">Limitador de inyección Growatt TPM-CT-E(100A) trifásico
</t>
  </si>
  <si>
    <t xml:space="preserve">Limitador de inyección Growatt TPM-CT-E(600A) trifásico
</t>
  </si>
  <si>
    <t>Limitador de inyección de energía a red, para varios inversores OnGrid Growatt Trifásicos, hasta 100kw</t>
  </si>
  <si>
    <t>CMBL</t>
  </si>
  <si>
    <t xml:space="preserve">INVERSOR GROWATT MONOFASICO OFF GRID 3KW SPF 3000TL HVM-24. </t>
  </si>
  <si>
    <t>MBCL</t>
  </si>
  <si>
    <t>INVERSOR GROWATT MONOFASICO OFF GRID 3KW SPF 3000TL HVM-48.</t>
  </si>
  <si>
    <t>AMVBL</t>
  </si>
  <si>
    <t>INVERSOR GROWATT MONOFASICO OFF GRID 3.5KW SPF 3500 ES (en caso de usar BMS avisar para actualizacion de firmware)</t>
  </si>
  <si>
    <t>(+4RJ)(+1GUS)</t>
  </si>
  <si>
    <t xml:space="preserve">INVERSOR GROWATT MONOFASICO OFF GRID 5KW - SPF 5000 TL HVM -48. Wifi </t>
  </si>
  <si>
    <t>CLAM</t>
  </si>
  <si>
    <t xml:space="preserve">INVERSOR GROWATT MONOFASICO OFF GRID 5KW - SPF 5000 ES </t>
  </si>
  <si>
    <t>INVERSOR OFF-GRID/CARGADOR, GROWATT SPF6000ES PLUS incl shine F</t>
  </si>
  <si>
    <t>V</t>
  </si>
  <si>
    <t>Inverter OFF-GRID Goodwe 6kW, 1 MPPT</t>
  </si>
  <si>
    <t>Inversor y Bateria 2500W 2560Wh 4MPPT Mono c/Wifi DEYE (SUN-BK250-2.56)</t>
  </si>
  <si>
    <t>Bateria Ampliacion 2560Wh hasta 40un Adicionales DEYE (AE-F2.56)</t>
  </si>
  <si>
    <t>Inversor Off Grid 6kW 1MPPT 48v Mono c/CT y WiFi DEYE (SUN-6K-OG02LP1-EU-AM1) (hay con 2mppt pero vale usd 100 mas)</t>
  </si>
  <si>
    <t>HM</t>
  </si>
  <si>
    <t>CONSULTAR</t>
  </si>
  <si>
    <t xml:space="preserve">INVERSOR GOODWE Hibrido 3.6 kw monofasico GW3648D-ES </t>
  </si>
  <si>
    <t>INVERSOR GOODWE Hibrido 5KW Monofásico (Batería HOME U) (5000-ES-20)</t>
  </si>
  <si>
    <t>INVERSOR GOODWE Hibrido 6KW Monofásico (Batería HOME U) (6000-ES-20)</t>
  </si>
  <si>
    <t xml:space="preserve">INVERSOR GOODWE Hibrido 8KW trif </t>
  </si>
  <si>
    <t>INVERSOR GOODWE Hibrido 10KW trif (Batería Lynx F G2) (10KN-ET-HYB)</t>
  </si>
  <si>
    <t>INVERSOR GOODWE Hibrido 20KW trif (Batería HOME U) (20K-ET-HYB)</t>
  </si>
  <si>
    <t>INVERSOR GOODWE Hibrido 30KW trif (Batería HOME U) (30K-ET-HYB)</t>
  </si>
  <si>
    <r>
      <rPr>
        <rFont val="Arial"/>
        <b/>
        <color rgb="FF000000"/>
        <sz val="11.0"/>
      </rPr>
      <t>INVERSORES HIBRIDOS DEYE</t>
    </r>
    <r>
      <rPr>
        <rFont val="Arial"/>
        <b/>
        <color rgb="FFFF9900"/>
        <sz val="11.0"/>
      </rPr>
      <t xml:space="preserve"> </t>
    </r>
    <r>
      <rPr>
        <rFont val="Arial"/>
        <b/>
        <color rgb="FF000000"/>
        <sz val="11.0"/>
      </rPr>
      <t xml:space="preserve">(descuento hasta 5% llevando baterias y segun volumen. Consultar) </t>
    </r>
  </si>
  <si>
    <t>Bateria Ampliacion 2000Wh hasta 6un DEYE (AE-FS2.0)</t>
  </si>
  <si>
    <t>All In One Hibrido LV en KIT Mono 5kW/5,1kWh DEYE (AI-5P1+AI-W5.1)</t>
  </si>
  <si>
    <t>All In One Hibrido LV en KIT Tri 10kW/10,2kWh DEYE (AI-10P3+2xAI-W5.1)</t>
  </si>
  <si>
    <t>All In One Hibrido LV Inversor Mono 5kW2MPPT Mono c/CT y WiFi DEYE(AI-W5.1-5P1-EU-B)</t>
  </si>
  <si>
    <t>All In One Hibrido LV en KIT Mono 8kW/10,2kWh DEYE (AI-5P1+AI-W5.1)</t>
  </si>
  <si>
    <t>Inversor Hibrido LV All In One 10kW2MPPT Trif c/CT y WiFi DEYE(AI-W5.1-10P3-EU-B)</t>
  </si>
  <si>
    <t xml:space="preserve">DEYE 3kW 1MPPT 24v Mono c/CT y WiFi DEYE (SUN-3K-SG04LP1-24-EU) </t>
  </si>
  <si>
    <t xml:space="preserve">DEYE 3kW 1MPPT 48v Mono c/CT y WiFi DEYE  (SUN-3K-SG04LP1-48-EU) </t>
  </si>
  <si>
    <r>
      <rPr>
        <rFont val="Arial"/>
        <color rgb="FF000000"/>
        <sz val="11.0"/>
      </rPr>
      <t>DEYE 3,6kW 2MPPT 48v Mono c/CT y WiFi DEYE (SUN-3.6K-SG03P1-EU)-</t>
    </r>
    <r>
      <rPr>
        <rFont val="Arial"/>
        <color rgb="FFFF0000"/>
        <sz val="11.0"/>
      </rPr>
      <t xml:space="preserve"> IVA 10.5% -</t>
    </r>
  </si>
  <si>
    <t xml:space="preserve">INMEDIATO. </t>
  </si>
  <si>
    <t xml:space="preserve">DEYE LV 5kW 2MPPT 48v Mono c/CT y WiFi (SUN-5K-SG05LP1-EU-SM2-P)
</t>
  </si>
  <si>
    <t>JME</t>
  </si>
  <si>
    <t>DEYE LV 6kW 2MPPT 48v Mono/CT y WiFi DEYE  (SUN-6K-SG05LP1)</t>
  </si>
  <si>
    <t>1EJ</t>
  </si>
  <si>
    <t>DEYE LV 8kW 2MPPT 48v Mono c/CT y WiFi DEYE  (SUN-8K-SG05LP1-EU) -</t>
  </si>
  <si>
    <t xml:space="preserve">DEYE LV 5kW 2MPPT 48v trif c/CT y WiFi (SUN-5K-SG04LP3-EU) - 
</t>
  </si>
  <si>
    <t>E</t>
  </si>
  <si>
    <t xml:space="preserve">DEYE LV 8kW 2MPPT 48v Trif c/CT y WiFi DEYE (SUN-8K-SG04LP3-EU)- 
</t>
  </si>
  <si>
    <t>JEF</t>
  </si>
  <si>
    <t xml:space="preserve">DEYE LV 10kW 2MPPT 48v Trif c/CT y WiFi DEYE (SUN-10K-SG04LP3-EU-SM2)-  </t>
  </si>
  <si>
    <t>JE</t>
  </si>
  <si>
    <t xml:space="preserve">DEYE LV 12kW 2MPPT 48v Trif c/CT y WiFi DEYE (SUN-12K-SG05LP3-EU-SM2)
</t>
  </si>
  <si>
    <t>EJ</t>
  </si>
  <si>
    <t xml:space="preserve">DEYE LV 15kW 2MPPT 48v Trif c/CT y WiFi DEYE (SUN-15K-SG05LP3-EU-SM2)-  
</t>
  </si>
  <si>
    <t>1E</t>
  </si>
  <si>
    <t xml:space="preserve">DEYE LV 20kW 2MPPT 48v Trif c/CT y WiFi DEYE (SUN-20K-SG05LP3-EU-SM2) </t>
  </si>
  <si>
    <t>EF</t>
  </si>
  <si>
    <t xml:space="preserve">KIT DEYE HV All In One en 10kW y 12,3kWh (GB-S10K+3xGB-LM4.0)- </t>
  </si>
  <si>
    <t xml:space="preserve">KIT DEYE HV All In One 10kW 2MPPT 160-700v Trif c/CT y WiFi DEYE (GB-S10K+GB-LB+Lbase)- 
</t>
  </si>
  <si>
    <t>All In One Hibrido HV en KIT Tri 20kW/20,5kWh DEYE (GB-S20K+5xGB-LM4.0)</t>
  </si>
  <si>
    <t>All In One Hibrido HV Inversor Trif 20kW 2MPPT c/CT y WiFi DEYE (GB-S20K+GB-LB+Lbase)</t>
  </si>
  <si>
    <t>191-1</t>
  </si>
  <si>
    <t>DEYE  HV 10kW 2MPPT 0,8kV Trif c/CT y WiFi DEYE (SUN-10K-SG01HP3-EU-AM2)</t>
  </si>
  <si>
    <t>DEYE HV 15kW 2MPPT 160-700v Trif c/CT y WiFi DEYE (SUN-15K-SG01HP3-EU-AM2</t>
  </si>
  <si>
    <t>DEYE HV 20kW 2MPPT 160-700v Trif c/CT y WiFi DEYE (SUN-20K-SG01HP3-EU-AM2)- CONSULTAR DESCUENTOS ESPECIALES POR VOLUMEN</t>
  </si>
  <si>
    <t>INGRESA AGOSTO</t>
  </si>
  <si>
    <t>DEYE HV 25kW 2MPPT 160-700v Trif c/CT y WiFi DEYE (SUN-25K-SG01HP3-EU-AM2) -</t>
  </si>
  <si>
    <t>DEYE HV 30kW 3MPPT 2entrad bat 160-700v Trif c/CT y WiFi DEYE  (SUN-30K-SG01HP3-EU-BM3)</t>
  </si>
  <si>
    <t>1/</t>
  </si>
  <si>
    <t>DEYE HV 50kW 4MPPT 2entrad bat 160-700v Trif c/CT y WiFi DEYE  (SUN-50K-SG01P3-EU-BM4)- CONSULTAR DESCUENTOS ESPECIALES POR VOLUMEN</t>
  </si>
  <si>
    <t>DEYE HV 60kW 6MPPT 2BAT1kV Trif c/CT y WiFi DEYE (SUN-60K-SG02HP3-EU-EM6)</t>
  </si>
  <si>
    <t>DEYE HV 80kW 6MPPT 2BAT1kV Trif c/CT y WiFi DEYE (SUN-80K-SG02HP3-EU-EM6)</t>
  </si>
  <si>
    <t>198-1</t>
  </si>
  <si>
    <t>DEYE HV 100kW 8MPPT 2BAT 1kV Trif c/CT y WiFi DEYE (SUN-100K-SG02HP3-EU-GM8)</t>
  </si>
  <si>
    <t>198-2</t>
  </si>
  <si>
    <t>DEYE HV 125kW 10MPPT 2BAT 1kV Trif c/CT y WiFi DEYE (SUN-125K-SG02HP3-EU-GM10)</t>
  </si>
  <si>
    <t>Inversor Cargador PCS 100kW (DC 175A) DEYE (SUN-100K-PCSL01HP3)</t>
  </si>
  <si>
    <t>Inversor Cargador PCS 125kW (DC 220A) DEYE (SUN-125K-PCSL01HP3)</t>
  </si>
  <si>
    <t>MPPT 200kW 8x 40A DEYE (SUN-MPPT-L01-EU-AM8)</t>
  </si>
  <si>
    <t>Sistema transferencia STS 500kW 10ms DEYE (SUN-STS500L)</t>
  </si>
  <si>
    <t>SISTEMAS BESS DEYE (A PEDIDO / PRECIO REFERENCIAL)</t>
  </si>
  <si>
    <t>A PEDIDO</t>
  </si>
  <si>
    <t>Cab IP55 Solo Bat 128,6kWh 8000Cic + AA + DyE INC. DEYE (GE-F128)</t>
  </si>
  <si>
    <t>Cab IP55 Solo Bat 214,2kWh 8000Cic + AA + DyE INC. DEYE (GE-F240)</t>
  </si>
  <si>
    <t>Cab IP54 PCS 100kW/215kWh MPPT 200kW + AA + DyE INC. DEYE (MS-GS215-2H2)</t>
  </si>
  <si>
    <t>Cab IP54 Sist. Transf. STS 500kW10ms GRID+GEN+LOAD DEYE(MS-TS500-2)</t>
  </si>
  <si>
    <t>Cab IP54 PCS 200kW/430kWh + AALQ+ DyE INC DEYE(MS-L430-2H3)</t>
  </si>
  <si>
    <t>Cab IP54 Solo Bateria 430kWh + AALQ+ DyE INC DEYE(MS-L430-BC-3)</t>
  </si>
  <si>
    <t>Cab IP54 Convertidor DC-DC 420kW +DyE INC DEYE(MS-DS420-2)</t>
  </si>
  <si>
    <t>Cab IP54 Cargador VE Ultra RapidoDoble DEYE(MS-DCC180-2)</t>
  </si>
  <si>
    <t>Cab IP54 Sistema ATS con MPPT200kW 8x 40A DEYE(MS-MPPT400-2)</t>
  </si>
  <si>
    <t>Cab IP54 EMS - Energy ManagerSystem DEYE(MS-EMS 1000)</t>
  </si>
  <si>
    <t xml:space="preserve">Inversor Hibrido Monofásico Modelo MIN 3000TL-XH </t>
  </si>
  <si>
    <t>Inversor Híbrido Monofásico/Cargador, Growatt SPH3000, Onda Senoidal Pura en Off Grid, 3000W/3000VA, 3000W en EPS; Bat: 48VDC, PV: 2 MPPT 1 Ent, Max: 6600W/550V/12A. Menú por botonera para configuración.</t>
  </si>
  <si>
    <t>Inversor Híbrido Monofásico/Cargador, Growatt SPH5000, Onda Senoidal Pura en Off Grid, 5000W/5000VA, 3000W en EPS; Bat: 48VDC, PV: 2 MPPT 1 Ent, Max: 8000W/550V/12A. Menú por botonera para configuración.</t>
  </si>
  <si>
    <t>Inversor Híbrido Trifasico/Cargador, Growatt SPH10000TL3, Onda Senoidal Pura en Off Grid, 10000W/10000VA, 10000W en EPS; Bat: 100~550VDC, PV: 2 MPPT 1 Ent, Max: 13000W/1000V/12A. Menú por botonera para configuración.</t>
  </si>
  <si>
    <t xml:space="preserve">Inversor OnGrid Battery Ready de 10kW con 2MPPT - Compatible con Baterías ARK HV (hasta 60kWh) </t>
  </si>
  <si>
    <t xml:space="preserve">Inversor OnGrid Battery Ready de 30kW con 3MPPT - Compatible con Baterías ARK HV (hasta 60kWh) </t>
  </si>
  <si>
    <t>Tablero de transferencia automática - Hasta 10kW - Compatible MOD XH &amp; MID XH - 100% desbalance de fases -</t>
  </si>
  <si>
    <t>Tablero de transferencia automática - Hasta 40kW - Compatible MOD XH &amp; MID XH - 100% desbalance de fases -</t>
  </si>
  <si>
    <t>Batería de Litio Growatt 5kwh APX 5.0P-B1 51,2V(385V) 100Ah, Soporta hasta 6 en paralelo, Compatible con inversores MOD XH &amp; MID XH</t>
  </si>
  <si>
    <t>Modulo de potencia. Compatible con inversores MOD XH &amp; MID XH - 10 años de garantía</t>
  </si>
  <si>
    <t>Base para instalar batería APX 5.0P sobre el suelo</t>
  </si>
  <si>
    <t>Cable de extensión de paralelización para montar 1 sistema de APX en 2 torres</t>
  </si>
  <si>
    <t>Cable de comunicación en cascada para montar 2 APX</t>
  </si>
  <si>
    <t xml:space="preserve"> BATERIAS LITIO DEYE (descuento hasta 5% llevando inversor y segun volumen. Consultar)</t>
  </si>
  <si>
    <t>DEYE LV Litio LiFePO4 Wall IP65 2,51kWh 25,1v 100Ah c/ Con (RW-L2.5)</t>
  </si>
  <si>
    <t xml:space="preserve">DEYE LV Litio LiFePO4 Wall/Floor 2,56kWh 25,6v 100Ah DEYE (WD-G24100) </t>
  </si>
  <si>
    <t xml:space="preserve">DEYE LV Litio LiFePO4 Floor/Wall IP65 4,91kWh 51,2v 96Ah (PC)  (SUNB-5.0-G01-48-PC) </t>
  </si>
  <si>
    <t>DEYE LV Litio LiFePO4 Rack 5,1kWh 51,2v 100Ah c/ conector DEYE  (SE-G5.1) (0.5 C)</t>
  </si>
  <si>
    <t>DEYE LV LiFePO4 Rack 10,2kWh 51,2v 200Ah c/ Prot DEYE (SE-G10.2)</t>
  </si>
  <si>
    <t>INMEDIATO. Poco stock</t>
  </si>
  <si>
    <t>DEYE LV Litio LiFePO4 Rack 5,1kWh 51,2v 100Ah c/ Con y Prot DEYE (SE-G5.1Pro-B) (1 C)</t>
  </si>
  <si>
    <t>DEYE LV Litio LiFePO4 Rack 5,3kWh 51,2v 104Ah c/ Prot  (RW-M5.3 Pro)</t>
  </si>
  <si>
    <t>DEYE LV LiFePO4 Apilable IP65 5,1kWh 51,2v 100Ah DEYE (AI-W5.1-B)</t>
  </si>
  <si>
    <t>DEYE LV Litio LiFePO4 Wall/Rack 5,1kWh 51,2v 100Ah s/ Prot DEYE (SE-F5-L) (1 C)</t>
  </si>
  <si>
    <t>DEYE LV LiFePO4 Wall/Apil 5,1kWh 51,2v 100Ah c/ Prot y Display DEYE (SE-F5 Pro)</t>
  </si>
  <si>
    <t>DEYE LV LiFePO4 Wall/Apil 12kWh 51,2v 230Ah s/ Prot DEYE (SE-F12-L)</t>
  </si>
  <si>
    <t>DEYE LV  LiFePO4 Wall/Apil 16,1kWh 51,2v 314Ah s/ Prot DEYE (SE-F16-L)</t>
  </si>
  <si>
    <t>DEYE LV  LiFePO4 IP65 16,1kWh 51,2v 314Ah c/ Prot, Rue y Disp DEYE (SE-F16 Max)</t>
  </si>
  <si>
    <t>DEYE HV Litio LiFePO4 Piso 4,1kWh 102,4v 40Ah IP65 DEYE  (GB-LM4.0)</t>
  </si>
  <si>
    <t>INGRESO JULIO</t>
  </si>
  <si>
    <t>DEYE HV Litio LiFePO4 HV PRO 4,1kWh 102,4v 40Ah IP65 DEYE (GB-L-Pro-Pack4.1-2)</t>
  </si>
  <si>
    <t>DEYE HV Litio LiFePO4  Rack 5,1kWh 51,2v 100Ah (Sin Rack) DEYE  (BOS-GM5.1)</t>
  </si>
  <si>
    <t>DEYE HV Litio LiFePO4 HV Rack 5,1kWh 51,2v 100Ah DEYE (BOS-G-PACK5.1 Pro)</t>
  </si>
  <si>
    <t>DEYE HV LiFePO4 HV Rack 14,3kWh 51,2v 280Ah 168A DEYE (BOS-B-PACK14.3) se vende minimo 15 unid</t>
  </si>
  <si>
    <t>DEYE HV LiFePO4 HV Rack 16,08kWh 51,2v 314Ah 180A DEYE (BOS-B-PACK16-A3)</t>
  </si>
  <si>
    <t>CONTROLADORES y RACKS DEYE (descuento hasta 5% segun volumen y producto)</t>
  </si>
  <si>
    <t>Controlador Bateria LV IP65 5,1kWh p/ 1 a 6 DEYE (AI-W5.1-PDU3-B+BASE)</t>
  </si>
  <si>
    <t>Controlador y Base DEYE HV Piso 4,1kWh p/ 2 a 6mod 750v 50A IP65 DEYE  (GB-LBS+GB-Lbase)</t>
  </si>
  <si>
    <t>Controlador Bateria DEYE HV Rack 5,1kWh p/ 3 a 12mod 750v 100A DEYE  (HVB750V/100A-EU)</t>
  </si>
  <si>
    <t>Controlador Bateria HV Rack 5,1kWh p/ 4 a 17mod 1000v 100A DEYE (BOS-G-PDU-2 Pro)</t>
  </si>
  <si>
    <t>Controlador Bateria HV Rack 14,3kWh p/4 a 15mod 1000v 168A DEYE (BOS-B-PDU-2)</t>
  </si>
  <si>
    <t>Controlador Bateria HV Rack 16,1kWh p/ 5 a 16mod 1000v 180A DEYE (BOS-B-PDU-2-A)</t>
  </si>
  <si>
    <t>Rack para BL-H5K1-DE-R hasta 12 Baterias y un Controlador DEYE (3U-Hrack)</t>
  </si>
  <si>
    <t>Rack para BL-H5K1-DE-R hasta 8 Baterias y un Controlador DEYE (3U-Lrack)</t>
  </si>
  <si>
    <t>252-1</t>
  </si>
  <si>
    <t>Rack y Cables BOS-B c HIB hasta 16 Baterias y un Controlador DEYE (BOS-B-AP-A)</t>
  </si>
  <si>
    <t>252-2</t>
  </si>
  <si>
    <t>Rack y Cables BOS-B c PCS hasta 16 Baterias y un Controlador DEYE (BOS-B-AP-B)</t>
  </si>
  <si>
    <t>Bateria GOODWE LV 5.4kWh Litio (Home)</t>
  </si>
  <si>
    <t>PCU Batería Litio GOODWE Linx F-G2 HV (Min 3 Mod)</t>
  </si>
  <si>
    <t xml:space="preserve">Modulo Batería Linx F-G2 HV 3.2kWh </t>
  </si>
  <si>
    <t>INMEDIATO. POCO STOCK</t>
  </si>
  <si>
    <t>Bateria PYLONTECH UP2500 Litio 24V 2.4kWh 6000c + Cable. Se entrega en transporte en Rosario</t>
  </si>
  <si>
    <t>LE</t>
  </si>
  <si>
    <t>Bateria PYLONTECH US3000C Litio 48V 3.5kWh 8000c + cable. Se entrega en transporte en Rosario</t>
  </si>
  <si>
    <t>LXE</t>
  </si>
  <si>
    <t>Bateria PYLONTECH UP5000 Litio 48V 4.8kWh 6000c + cable. Se entrega en transporte en Rosario</t>
  </si>
  <si>
    <t>Bateria PYLONTECH US5000 Litio 48V 4.8kWh + cable. Se retira por deposito Soldatti o entrega en CTC</t>
  </si>
  <si>
    <t>LMEF</t>
  </si>
  <si>
    <t>INGRESAN JUNIO. PREVENTA</t>
  </si>
  <si>
    <t>Bateria PYLONTECH UF-5000 Litio 48V 5.1kWh 6000c + Cable</t>
  </si>
  <si>
    <t>260-1</t>
  </si>
  <si>
    <t>INGRESA JUNIO</t>
  </si>
  <si>
    <t>Bateria PYLONTECH FIDUS Litio 51.2V 5.1kWh 6000c + Cable</t>
  </si>
  <si>
    <t>260-2</t>
  </si>
  <si>
    <t>Bateria PYLONTECH FIDUS PLUS Litio 51.2V 16kWh 8000c + Cable</t>
  </si>
  <si>
    <t xml:space="preserve">ME </t>
  </si>
  <si>
    <t>Batería Litio Monobloque RT12100 12V 100Ah Pylontech</t>
  </si>
  <si>
    <t>EM</t>
  </si>
  <si>
    <t>Batería Litio Monobloque RV12200 12.8V 200AH Pylontech</t>
  </si>
  <si>
    <t>(+1RJ)</t>
  </si>
  <si>
    <t>CAM</t>
  </si>
  <si>
    <t xml:space="preserve">BATERIA GROWATT MODULAR DE LITIO AXE 5.0L </t>
  </si>
  <si>
    <t>BATERIA GROWATT MODULAR DE LITIO AXE 5.0L - cable</t>
  </si>
  <si>
    <t>BATERIA GROWATT MODULAR DE LITIO AXE 5.0L - base</t>
  </si>
  <si>
    <t>Batería Litio GROWATT HOPE 5.0L-B1 - 51.2V 100Ah + KIT - en promo (no compatible con hope 5.5)</t>
  </si>
  <si>
    <t>Batería GROWATT  HOPE 5.5L-A1 + KIT</t>
  </si>
  <si>
    <t>(+3RJ(+2A)</t>
  </si>
  <si>
    <t>Batería GROWATT  HOPE 16.0LM-A1 (16kwh)</t>
  </si>
  <si>
    <t>ARK XH . Modulo de batería LiFePO4 de 2.56kWh compatible con MIN 3000TL-XH</t>
  </si>
  <si>
    <t>Batería de Litio Growatt modelo ARK 2.5H-A1. 2,56 kWh (50 Ah), DOD 90% 6000 ciclos, hasta 10 Baterias por torre. Compatible con: SPH10000TL3BH-UP. Comunicación CAN.</t>
  </si>
  <si>
    <t>BMS modelo HVC 60050-A1 para batería ARK 2.5H-A1</t>
  </si>
  <si>
    <t>Set de cables ARK 2.5H-A1 cable</t>
  </si>
  <si>
    <t>Set de cables ARK 2.5H-A1 Series cable</t>
  </si>
  <si>
    <t>Base para batería ARK</t>
  </si>
  <si>
    <t>Soporte de pared para batería ARK</t>
  </si>
  <si>
    <t xml:space="preserve"> BATERIAS LITIO DYNESS</t>
  </si>
  <si>
    <t>DYNESS Lithium Ion battery DL5.00-5,12 kWh 51,1v 100ah  (1 C) (LV)</t>
  </si>
  <si>
    <t>DYNESS Lithium Ion Battery B4850 - 2,4 kWh 48v 50ah (LV)</t>
  </si>
  <si>
    <t>DYNESS Lithium HV9637 PARA BDU 3,55 kWh (compatible con DEYE HV)</t>
  </si>
  <si>
    <t>DYNESS BDU+BMS (1.5g FOR TOWER)</t>
  </si>
  <si>
    <t>279-1</t>
  </si>
  <si>
    <t>Dyness Powerbrick Battery/ 51.2V 280Ah/14.336KWh (compatible con DEYE LV)</t>
  </si>
  <si>
    <t>279-2</t>
  </si>
  <si>
    <t>Dyness S51280 Battery/ 51.2V 280Ah/14.3KWh (compatible con DEYE HV)</t>
  </si>
  <si>
    <t>279-3</t>
  </si>
  <si>
    <t>EXPANSION KITS FOR STACK280</t>
  </si>
  <si>
    <t>279-4</t>
  </si>
  <si>
    <t>BDU&amp;BASE FOR STACK280</t>
  </si>
  <si>
    <t>HUAWEI LUNA2000  LiFePO4 5kWh - DoD 100% - Compatible con SUN200-2/3/5KTL-L1 y SUN2000-3/10KTL-M1</t>
  </si>
  <si>
    <t>LUNA2000 DC / DC Converter</t>
  </si>
  <si>
    <t xml:space="preserve"> BATERIAS LITIO BLUNERY</t>
  </si>
  <si>
    <t>D</t>
  </si>
  <si>
    <t>Bateria Litio LiFePO4 Rack 5,1kWh 51,2v 100Ah c/ Prot BLUNERY (BATBLUSTD48100) (1C 100% DOD)</t>
  </si>
  <si>
    <t>Bateria Litio LiFePO4 1,28kWh 12,8v 100Ah Monobloque BLUNERY (BATBLUSTD12100)</t>
  </si>
  <si>
    <t>Bateria Litio LiFePO4 2,56kWh 12,8v 200Ah Monobloque Sin Bluetooth BLUNERY</t>
  </si>
  <si>
    <t>CJ</t>
  </si>
  <si>
    <t>Bateria ULTRACELL GEL 12V 55Ah Ciclo profundo, 2400c. 30% DOD</t>
  </si>
  <si>
    <t>CEMJX</t>
  </si>
  <si>
    <t>Bateria ULTRACELL GEL 12V 100Ah Ciclo profundo, 2400c. 30% DOD</t>
  </si>
  <si>
    <t>0MJX</t>
  </si>
  <si>
    <t>Bateria ULTRACELL GEL 12V 150Ah Ciclo profundo, 2400c. 30% DOD</t>
  </si>
  <si>
    <t>ECJMX</t>
  </si>
  <si>
    <t>Bateria ULTRACELL GEL 12V 200Ah Ciclo profundo, 2400c. 30% DOD</t>
  </si>
  <si>
    <t>CEJX</t>
  </si>
  <si>
    <t>Bateria ULTRACELL GEL 12V 275Ah Ciclo profundo, 2400c. 30% DOD</t>
  </si>
  <si>
    <t>DM</t>
  </si>
  <si>
    <t>BATERIA RITAR DC 12 V - 100AH</t>
  </si>
  <si>
    <t>BATERIA RITAR DC 12 V - 150AH</t>
  </si>
  <si>
    <t>BATERIA RITAR DC 12 V - 225AH</t>
  </si>
  <si>
    <t>BATERIA TROJAN 6 V - 202AH. T-105AES</t>
  </si>
  <si>
    <t>BATERIA TROJAN 6 V - 298AH. J-305AES</t>
  </si>
  <si>
    <t>BATERIA TROJAN 6 V - 333AH. L-16AES</t>
  </si>
  <si>
    <t>BATERIA TROJAN 12 V - 100AH. 31AES</t>
  </si>
  <si>
    <t>BATERIA VISION 12 V - 33AH. 6FM33X</t>
  </si>
  <si>
    <t>BATERIA VISION 12 V - 40AH. 6FM40X</t>
  </si>
  <si>
    <t>BATERIA VISION 12 V - 55AH. 6FM55X</t>
  </si>
  <si>
    <t>BATERIA VISION 12 V - 65AH. 6FM65X</t>
  </si>
  <si>
    <t>BATERIA VISION 12 V - 75AH. 6FM75X</t>
  </si>
  <si>
    <t>BATERIA VISION 12 V - 100AH. 6FM100EX</t>
  </si>
  <si>
    <t>BATERIA VISION 12 V - 120AH. 6FM120X</t>
  </si>
  <si>
    <t xml:space="preserve">BATERIA VISION 12 V - 150AH. 6FM150EX </t>
  </si>
  <si>
    <t xml:space="preserve">BATERIA VISION 12 V - 230AH. 6FM230X </t>
  </si>
  <si>
    <t>BATERIA VISION 6 V - 225AH. 3FM225X</t>
  </si>
  <si>
    <t>BATERIA DETROIT 12V 100 AH</t>
  </si>
  <si>
    <t>BATERIA DETROIT 12V 150 AH</t>
  </si>
  <si>
    <t>BATERIA  ETERNITY 12 V - 150AH. T-1275</t>
  </si>
  <si>
    <t>BATERIA  ETERNITY 6 V - 315AH. J305G</t>
  </si>
  <si>
    <t>BATERIA ETERNITY 6 V - 390AH. L16G</t>
  </si>
  <si>
    <t>BATERIA ETERNITY 6 V - 435AH. L16H</t>
  </si>
  <si>
    <t xml:space="preserve">BATERIA  ETERNITY 6 V - 225AH. </t>
  </si>
  <si>
    <t>BATERIA ETERNITY 8 V - 145AH. T-875</t>
  </si>
  <si>
    <t>BATERIA ETERNITY 8 V - 170AH. T-875</t>
  </si>
  <si>
    <t>BATERIA TROJAN 12 V - 85AH. 24TMX</t>
  </si>
  <si>
    <t xml:space="preserve">BATERIA TROJAN 12 V - 105AH. 27TMX </t>
  </si>
  <si>
    <t>BATERIA TROJAN 12 V - 130AH. SCS225</t>
  </si>
  <si>
    <t>BATERIA TROJAN 6 V - 210AH. T-605</t>
  </si>
  <si>
    <t>BATERIA TROJAN 6 V - 315AH. J305G</t>
  </si>
  <si>
    <t>BATERIA TROJAN 6 V - 390AH. L16G</t>
  </si>
  <si>
    <t>BATERIA TROJAN 6 V - 435AH. L16H</t>
  </si>
  <si>
    <t>BATERIA TROJAN 6 V - 225AH. T-105</t>
  </si>
  <si>
    <t>MDS</t>
  </si>
  <si>
    <t>CABLE SOLAR 4 MM (ROJO O NEGRO) (USD/mt) -  SLOCABLE (si hay que abrir rollo de 250 mts)</t>
  </si>
  <si>
    <t>CABLE SOLAR 6 MM (ROJO O NEGRO) (USD/mt) -  SLOCABLE (si hay que abrir rollo de 200 mts)</t>
  </si>
  <si>
    <t>CABLE SOLAR 4 MM (ROJO O NEGRO) (USD/mt) -  SLOCABLE (si no hay que abrir rollo de 250 mts)</t>
  </si>
  <si>
    <t>CABLE SOLAR 6 MM (ROJO O NEGRO) (USD/mt) -  SLOCABLE (si no hay que abrir rollo de 200 mts)</t>
  </si>
  <si>
    <t>CZ</t>
  </si>
  <si>
    <t>CABLE SOLAR 4 MM (ROJO O NEGRO) (USD/mt) - AMPHENOL  (pedido menor a 250 mts)</t>
  </si>
  <si>
    <t>(+3x150R )(+3x150N RJ )</t>
  </si>
  <si>
    <t>CABLE SOLAR 6 MM (ROJO O NEGRO) (USD/mt) - AMPHENOL  (pedido menor a 250 mts)</t>
  </si>
  <si>
    <t>CABLE SOLAR 4 MM (ROJO O NEGRO) (USD/mt) - AMPHENOL  (minimo 500 mts)</t>
  </si>
  <si>
    <t>CABLE SOLAR 6 MM (ROJO O NEGRO) (USD/mt) - AMPHENOL (minimo 500 mts)</t>
  </si>
  <si>
    <t>U</t>
  </si>
  <si>
    <t>CABLE SOLAR 4 MM (ROJO O NEGRO) (USD/mt) - NACIONAL (minimo 900 mts)</t>
  </si>
  <si>
    <t>CABLE SOLAR 6 MM (ROJO O NEGRO) (USD/mt) - NACIONAL (minimo 900 mts)</t>
  </si>
  <si>
    <t>CABLE SOLAR 6 MM (ROJO O NEGRO) (USD/mt) - REFRIPLAY (minimo 500 mts)</t>
  </si>
  <si>
    <t>CABLE SOLAR 4 MM (ROJO O NEGRO) (USD/mt) - REFRIPLAY (minimo 500 mts)</t>
  </si>
  <si>
    <t>CABLE SOLAR 10 MM (ROJO O NEGRO) (USD/mt) -  NACIONAL (minimo 250 mts)</t>
  </si>
  <si>
    <t>CABLE SOLAR 10 MM (ROJO O NEGRO) (USD/mt) -  SLOCABLE (minimo 250 mts)</t>
  </si>
  <si>
    <t>3x185/95 CU - sx4185 (usd/mt)</t>
  </si>
  <si>
    <t>3x185/95 AL - sxal4185 (usd/mt)</t>
  </si>
  <si>
    <t>JUEGO M/H FICHAS MC4 2.5 ~ 6MM -1500V P/CABLE - SLOCABLE</t>
  </si>
  <si>
    <t>JUEGO M/H FICHAS MC4 2.5 ~ 6MM -1500V P/CHASIS - SLOCABLE</t>
  </si>
  <si>
    <t>Juego 2M-1H/1M-2H Fichas MC4-1500V - Divisor por 2</t>
  </si>
  <si>
    <t>Juego 3M-1H/1M-3H Fichas MC4-1500V- Divisor por 3</t>
  </si>
  <si>
    <t>Ficha MC4 M/H con diodo 20A interno</t>
  </si>
  <si>
    <t>Ficha MC4 M/H con fusible ceramico 10x38 interno - 1000V/20A</t>
  </si>
  <si>
    <t>DPS Clase II para AC 2 polos 275V/30KA - SLOCABLE</t>
  </si>
  <si>
    <t>DPS Clase II para AC 4 polos 385V/30KA - SLOCABLE</t>
  </si>
  <si>
    <t>DPS Clase II para DC 2 polos 600V/40KA</t>
  </si>
  <si>
    <t>DPS Clase II para DC 3 polos 1000V/40KA - SLOCABLE</t>
  </si>
  <si>
    <t>Switch de Batería de 4 posiciones 270A - SLOCABLE</t>
  </si>
  <si>
    <t>Caja de pase con llave de corte de 32A, 4 polos, y conectores MC4 para E/S 2 Circuitos - SLOCABLE</t>
  </si>
  <si>
    <t>Estuche con Crimpeadora MC4 / Pelacables y 2 llaves de armado de fichas MC4 - SLOCABLE</t>
  </si>
  <si>
    <t>Juego de 2 Llaves de armado de fichas MC4 - SLOCABLE</t>
  </si>
  <si>
    <t>PORTAFUSIBLE DC (10X38) 1000V/30A - YINRONG (SLOCABLE)</t>
  </si>
  <si>
    <t>Q</t>
  </si>
  <si>
    <t>Portafusible Tipo Tabaquera 1P 30A/1000Vdc Riel DIN p/ Fusible Solar 10x38 marca Projoy - se vende de a 30 unidades</t>
  </si>
  <si>
    <t>FUSIBLE CERAMICO DC 10X38 20A/1000V - YINRONG (SLOCABLE)</t>
  </si>
  <si>
    <t>Fusible Solar Projoy DC 20A/1000VDC 10x38 o 25A/1000VDC 10x38 o 30A/1000VDC 10x38 - se vende de a 30 unid solo con portafusibles projoy</t>
  </si>
  <si>
    <t>Estructura completa, para piso, con inlcinacion a 30 grados, de mesa para 18 paneles en acero galvanizado, con buloneria, grampas y anclajes. Para la fijacion al suelo las patas traseras tienen pelos y se hacen pozos y se hormigonea en el suelo con la distribucion del plano. No incluye armado. No incluye hormigon. Compra minima: 5 unidades para 18 paneles cada una. Se puede modificar el diseño segun las mesas del cliente. 60 dias corridos de fabricacion. Precio por panel</t>
  </si>
  <si>
    <t>POR ENCARGO</t>
  </si>
  <si>
    <t>Estructura Soporte Tipo Coplanar por tramos 50 cm - Paneles 110/144 - Techo de chapa - Incluye bulon autoperforante acero inox. 6,1 x 22 mm - Grampas finales e intermadias regulables para perfil de panel de 30 hasta 40 mm - Cinta EPDM para perforacion del techo de chapa- precio por panel</t>
  </si>
  <si>
    <t>Estructura Soporte Tipo Coplanar Perfiles completos 4800 mm- Paneles 110/144 -Cubiertas Ceramicas, metalicas y fibrocemento - Incluye
perno para viga metálica ,medidas: 25 cm de acero al carbono SCM 435 en la punta perforante y el resto de acero inoxidable 304 - Grampas finales e
intermadias regulables para perfil de panel de 30 hasta 40 mm - precio por panel</t>
  </si>
  <si>
    <t>Estructura Soporte Con inclinacion - Ajustable desde 10° hasta 30°- Paneles 110/144 -Cubiertas metalicas y fibrocemento - Incluye 4 unidades de
anclaje con tuerca y arandela por soporte, medidas 5/16 x 75 mm - Grampas finales e intermadias regulables para perfil de panel de 30 hasta 40 mm- precio por panel</t>
  </si>
  <si>
    <t>Estructura Soporte Con inclinacion monoposte-Ajustable desde 8° hasta 25°- Para Suelo -Paneles 110/144 Celdas- Posicion Vertical - Grampas finales
e intermadias regulables para perfil de panel desde 30 hasta 40 mm - Sistema de fijacion con relleno de hormigon - precio por panel</t>
  </si>
  <si>
    <t>Estructura Soporte Con inclinacion Biposte-Configuracion 2V - Para Suelo -Paneles 110/144Celdas - Inclinacion Disponible de 10° hasta 25° -
Grampas finales e intermadias regulables para perfil de panel desde 30 hasta 40 mm - Sistema de fijacion con relleno de hormigon - precio por panel</t>
  </si>
  <si>
    <t>365-1</t>
  </si>
  <si>
    <t>Estructura coplanar con perfiles de 2,13mts o 3,93mts (precio por panel) (compra minima para 30 paneles)(para paneles de hasta 630w- consultar otros tamaños)</t>
  </si>
  <si>
    <t>Estructura coplanar para 2 paneles 30 / 35 mm, 60 m/s marca MIBET (cada kit trae 2 grampas intermedias + 4 finales)</t>
  </si>
  <si>
    <t>Estructura triangular para 2 paneles 30 / 35 mm, 60 m/s marca MIBET  (cada kit trae 2 grampas intermedias + 4 finales)</t>
  </si>
  <si>
    <t>Estructura miniriel para 2 paneles 30 / 35 mm, 60 m/s marca MIBET</t>
  </si>
  <si>
    <t>INMEDIATO. QUEDAN 3 KIT de 30mm</t>
  </si>
  <si>
    <t>Kit Coplanar HE 4 paneles (4.8m), 8 patas L 30 o 35 mm - -5 a 10 dias habiles para despachar</t>
  </si>
  <si>
    <t>(3 kits RJ)</t>
  </si>
  <si>
    <t>Kit Coplanar HE NOVA 4 paneles (4.8m), 8 patas L - -5 a 10 dias habiles para despachar</t>
  </si>
  <si>
    <t>Kit Inc. 10-15° HE NOVA 4 paneles (4.8m) - -5 a 10 dias habiles para despachar</t>
  </si>
  <si>
    <t>Kit Inc. 15-30° HE NOVA 4 paneles (4.8m)</t>
  </si>
  <si>
    <t>Kit Inc. 30-60° HE NOVA 4 paneles (4.8m)</t>
  </si>
  <si>
    <r>
      <rPr>
        <rFont val="Arial"/>
        <b/>
        <color rgb="FF000000"/>
        <sz val="11.0"/>
      </rPr>
      <t xml:space="preserve">BOMBAS SOLARES HYKO PUMP (GAR: 2 AÑOS) - </t>
    </r>
    <r>
      <rPr>
        <rFont val="Arial"/>
        <b/>
        <color rgb="FFFF0000"/>
        <sz val="11.0"/>
      </rPr>
      <t>-5 a 10 dias habiles para despachar</t>
    </r>
  </si>
  <si>
    <t xml:space="preserve">HD-2SS1.2-56-24-120 Bomba Solar HP 120W, Pozo 2", Screw, Controlador DC </t>
  </si>
  <si>
    <t xml:space="preserve">HD-2SS1.5-77-24-210 Bomba Solar HP 210W, Pozo 2", Screw, Controlador DC </t>
  </si>
  <si>
    <t xml:space="preserve">HD-2SS1.7-100-48-500 Bomba Solar HP 500W, Pozo 2", Screw, Controlador DC </t>
  </si>
  <si>
    <t xml:space="preserve">HD-3SS1.2-56-24-120 Bomba Solar HP 120W, Pozo 3", Screw, Controlador DC </t>
  </si>
  <si>
    <t xml:space="preserve">HD-3SS1.2-77-36-210 Bomba Solar HP 210W, Pozo 3", Screw, Controlador DC </t>
  </si>
  <si>
    <t xml:space="preserve">HD-4SC7-45-72-600 Bomba Solar HP 600W, Pozo 4", Prop ABS, Controlador DC </t>
  </si>
  <si>
    <t xml:space="preserve">HD-4SC7-56-72-750 Bomba Solar HP 750W, Pozo 4", Prop ABS, Controlador DC </t>
  </si>
  <si>
    <t xml:space="preserve">HD-4SC7-86-110-1100 Bomba Solar HP 1100W, Pozo 4", Prop ABS, Controlador DC </t>
  </si>
  <si>
    <t xml:space="preserve">HD-3SSC4-35-24-300 Bomba Solar HP 300W, Pozo 3", Prop AI, Controlador DC </t>
  </si>
  <si>
    <t xml:space="preserve">HD-3SSC4-50-48-400 Bomba Solar HP 400W, Pozo 3", Prop AI, Controlador DC </t>
  </si>
  <si>
    <t xml:space="preserve">HD-3SSC4.5-80-48-600 Bomba Solar HP 600W, Pozo 3", Prop AI, Controlador DC </t>
  </si>
  <si>
    <t xml:space="preserve">HD-3SSC4.5-95-72-750 Bomba Solar HP 750W, Pozo 3", Prop AI, Controlador DC </t>
  </si>
  <si>
    <t xml:space="preserve">HD-4SSC6.5-45-48-500 Bomba Solar HP 500W, Pozo 4", Prop AI, Controlador DC </t>
  </si>
  <si>
    <t xml:space="preserve">HD-4SSC6.5-67-72-750 Bomba Solar HP 750W, Pozo 4", Prop AI, Controlador DC </t>
  </si>
  <si>
    <t xml:space="preserve">HD-4SSC6.5-101-110-1100 Bomba Solar HP 1100W, Pozo 4", Prop AI, Controlador DC </t>
  </si>
  <si>
    <t xml:space="preserve">HD-4SSC6-203-110-1500 Bomba Solar HP 1500W, Pozo 4", Prop AI, Controlador DC </t>
  </si>
  <si>
    <t xml:space="preserve">HD-4SSC6.5-67-72-750-AD Bomba Solar HP 750W, Pozo 4", Prop AI, Controlador AC/DC </t>
  </si>
  <si>
    <t xml:space="preserve">HD-4SSC6.5-101-110-1100-AD Bomba Solar HP 1100W, Pozo 4", Prop AI, Controlador AC/DC </t>
  </si>
  <si>
    <t xml:space="preserve">HD-4SSC6-203-180-1500-AD Bomba Solar HP 1500W, Pozo 4", Prop AI, Controlador AC/DC </t>
  </si>
  <si>
    <t xml:space="preserve">HD-4SSC9-135-280-2200-AD Bomba Solar HP 2200W, Pozo 4", Prop AI, Controlador AC/DC </t>
  </si>
  <si>
    <t xml:space="preserve">HD-4SSC18-137-300-3000 A Bomba Solar HP 3000W, Pozo 4", Prop AI, Controlador AC/DC </t>
  </si>
  <si>
    <t xml:space="preserve">HD-4SSC22-115-530-4000A Bomba Solar HP 4000W, Pozo 4", Prop AI, Controlador AC/DC </t>
  </si>
  <si>
    <t>Bomba Solar SQF 0.6-2 Rp 1 1/4 cpl. GRUNDFOS-Diámetro 3", Rosca 1 1/4" Helicoidal. Flex: Alimentación dual (Solar ó 220V CA). 95027324</t>
  </si>
  <si>
    <t>Bomba Solar SQF 0.6-3 Rp 1 1/4 cpl. GRUNDFOS-Diámetro 3", Rosca 1 1/4" Helicoidal. Flex: Alimentación dual (Solar ó 220V CA). 95027326</t>
  </si>
  <si>
    <t>Bomba Solar SQF 1.2-2 Rp 1 1/4 cpl. GRUNDFOS-Diámetro 3", Rosca 1 1/4" Helicoidal. Flex: Alimentación dual (Solar ó 220V CA). 95027328</t>
  </si>
  <si>
    <t>Bomba Sumergible Centrifuga Grundfos SQF 1.2-3 Rp 1 1/4-Diámetro 3", Rosca 1 1/4" Helicoidal. Flex: Alimentación dual (Solar ó 220V CA). 96834838</t>
  </si>
  <si>
    <t>Bomba Sumergible Helicoidal Grundfos SQF 1-8 Rp1 1/4 - pozo 3"-Diámetro 3", Rosca 1 1/4", Centrifuga. Flex: Alimentación dual (Solar ó 220V CA). 98842452</t>
  </si>
  <si>
    <t>Bomba Sumergible Centrifuga Grundfos SQF 2.5-2-Diámetro 3", Rosca 1 1/4", Helicoidal. Flex: Alimentación dual (Solar ó 220V CA). 95027331</t>
  </si>
  <si>
    <t>Bomba Solar SQF 3A-10 Rp 1 1/4 cpl. GRUNDFOS-Diámetro 4", Rosca 1 1/4", Centrifuga. Flex: Alimentación dual (Solar ó 220V CA). 95027336</t>
  </si>
  <si>
    <t>Bomba Solar SQF 5A-3 Rp 1 1/2 cpl. GRUNDFOS-Diámetro 4", Rosca 1 1/2", Centrifuga. Flex: Alimentación dual (Solar ó 220V CA). 95027338</t>
  </si>
  <si>
    <t>Bomba Sumergible Centrifuga Grundfos SQF 5A-7-Diámetro 4", Rosca 1 1/2", Centrifuga. Flex: Alimentación dual (Solar ó 220V CA). 95027342</t>
  </si>
  <si>
    <t>Bomba Solar SQF 11A-3 Rp 2 cpl. GRUNDFOS-Diámetro 4", Rosca 2", Centrifuga. Flex: Alimentación dual (Solar ó 220V CA). 95027441</t>
  </si>
  <si>
    <t>Bomba Solar SQF 9-3 Rp2 cpl. GRUNDFOS-Diámetro 4", Rosca 2", Centrifuga.Diámetro 4". Flex: Alimentación dual (Solar ó 220V CA). 98978826</t>
  </si>
  <si>
    <t>Bomba Sumergible Centrifuga Grundfos SQF 7-4-Diámetro 4", Rosca 1 1/2", Centrífuga. Flex: Alimentación dual (Solar ó 220V CA). 98979253</t>
  </si>
  <si>
    <t>Bomba Sumergible Centrifuga Grundfos SQF 14-3-Diámetro 4", Rosca 2", Centrifuga.Diámetro 4". Flex: Alimentación dual (Solar ó 220V CA). 98979255</t>
  </si>
  <si>
    <t>SQF 5-70 Rp1 1/2" Cpl.-Diámetro 3", Rosca 1 1/2", Helicoidal. Flex: Alimentación dual (Solar ó 220V CA). 99465250</t>
  </si>
  <si>
    <t>Bomba Solar SQF 7-55 Rp1 1/2" Cpl. GRUNDFOS-Diámetro 3", Rosca 1 1/2" Helicoidal. Flex: Alimentación dual (Solar ó 220V CA). 99595409</t>
  </si>
  <si>
    <t>Bomba Solar SQF 3-105 N Rp1 1/4" Cpl. GRUNDFOS-Diámetro 3", Rosca 1 1/4", Helicoidal. Flex: Alimentación dual (Solar ó 220V CA). 99858143</t>
  </si>
  <si>
    <t>Bomba Solar SSQF 1-155. GRUNDFOS-Diámetro 3", Rosca 1 1/4", Helicoidal. Flex: Alimentación dual (Solar ó 220V CA). 92795367</t>
  </si>
  <si>
    <t>Bomba Solar SQF 1-70 Rp 1 1/4 cpl. GRUNDFOS-Diámetro 3", Rosca 1 1/4", Helicoidal. Flex: Alimentación dual (Solar ó 220V CA). 99596857</t>
  </si>
  <si>
    <t>Empalme para Cable Bomba Grundfos 3 ó 4 conductores x 1.5-6mm2-Empalme para 3 ó 4 conductores de sección 1,5-6mm2. Compuesto de lijas de limpieza, cinta autosoldante terminales y termocontraibles siliconados para trabajo bajo agua. Original Grundfos. Debe adquirirse un empalme por bomba. La sección es la del cable plano sumergible hasta superficie.</t>
  </si>
  <si>
    <t>Empalme para Cable Bomba Grundfos 3 ó 4 x 6 - 10 mm2-Empalme para 3 ó 4 conductores de sección 1,5-6-10mm2. Compuesto de lijas de limpieza, cinta autosoldante terminales y termocontraibles siliconados para trabajo bajo agua. Original Grundfos. Debe adquirirse un empalme por bomba. La sección es la del cable plano sumergible hasta superficie.</t>
  </si>
  <si>
    <t>Caja Grundfos IO50-Caja Grundfos IO50 - Para encendido/apagado manual mediante llave rotativa. 97907253</t>
  </si>
  <si>
    <t>Caja Grundfos IO 101-Caja Grundfos IO 101 - Para sistemtas con Grupo Electrogeno. 96475074</t>
  </si>
  <si>
    <t>Caja Grundfos CU200-Caja Grundfos CU200 - Para encendido/apagado e información adicional funcionamiento</t>
  </si>
  <si>
    <t>Caja de control Grundfos CU202 para SQF-Evolución de la CU200. Caja de control y monitoreo de bomba SQFlex. Informa Estado, alarmas y preformance mediante display numérico en forma local y también mediante la aplicación Grundfos Go por Bluetooth o Wifi. Entrada para flotante y puerto de comunicación Modbus. 92799796</t>
  </si>
  <si>
    <t>Cable plano sumergible de 3x4mm-Cable plano sumergible de 3x4mm</t>
  </si>
  <si>
    <t>Cable plano sumergible de 3x6mm-Cable plano sumergible de 3x6mm</t>
  </si>
  <si>
    <t>Kit_puesta_a_tierra_bombeo_solar-Jabalina de cobre, Toma Cable, Tapa Inspeccion, 10mts cable Caucho, Terminal Ojal, Puntera Hueca</t>
  </si>
  <si>
    <t>Boya_y_cable_bombeo_10m_NA-Boya_y_cable_bombeo_10m_NA</t>
  </si>
  <si>
    <t>Boya_y_cable_bombeo_10m_NC_para_CU200-Boya_y_cable_bombeo_10m_NC_para_CU200</t>
  </si>
  <si>
    <t>Conectores MC4 4mm2 para Bombeo solar - sistema 1-Conectores MC 4 para Bomba. 4mm2</t>
  </si>
  <si>
    <t>kit_cable_solar_bombeo_3-Kit de extensión de cable solar para Bombeo c/ controlador (2 strings paneles)</t>
  </si>
  <si>
    <t>Cargador vehículos eléctricos ABB Terra AC Wallbox 7kW monofásico c/ Toma Tipo 2</t>
  </si>
  <si>
    <t>Cargador vehículos eléctricos THOR 07AS-S 7kW monofásico c/ Toma Tipo 2</t>
  </si>
  <si>
    <t>EV Charging station NS - Blue .  Victron</t>
  </si>
  <si>
    <t>Type 2 EV Charging cable 3m, 22kW para victron</t>
  </si>
  <si>
    <t>Smart Cargador Auto 7kW Mono 22kW Tri DEYE (SUN-EVSE22K01-EU-AC)</t>
  </si>
  <si>
    <t>Estación de Energía Voltdeer (Pylontech), 1200W, 1008Wh</t>
  </si>
  <si>
    <t>Estación de Energía Voltdeer (Pylontech), 2200W, 2026Wh</t>
  </si>
  <si>
    <t>Inversor y Bateria transportable 300W / 230Wh LFP BLUETTI (AC2P)</t>
  </si>
  <si>
    <t>Inversor y Bateria transportable 700W /504Wh LFP BLUETTI (AC50P)</t>
  </si>
  <si>
    <t>Inversor y Bateria transportable 1800W /1440Wh LFP BLUETTI (AC180P)</t>
  </si>
  <si>
    <t>Inversor y Bateria transportable 2400W /  2304Wh BLUETTI (AC200PL)</t>
  </si>
  <si>
    <t>Inversor y Bateria transportable 3840W / 2765Wh LFP BLUETTI (APEX300)</t>
  </si>
  <si>
    <t>Pack Bateria Litio LFP 2765Wh p/ APEX300 y AC200PL BLUETTI (B300K)</t>
  </si>
  <si>
    <t xml:space="preserve">Inversor y Bateria transportable 1200W / 960Wh LFP NEGRO GENKI (GK-1200W) </t>
  </si>
  <si>
    <t>Inversor y Bateria transportable 2000W / 1997Wh LFP NEGRO GENKI (GK-2000W)</t>
  </si>
  <si>
    <t>Inversor y Bateria transportable 3600W / 3840Wh NEGRO GENKI (GK-3600W)</t>
  </si>
  <si>
    <t>INGRESA MARZO</t>
  </si>
  <si>
    <t>Panel Solar Plegable Mono 200Wp GENKI (GKS2-200Wp)</t>
  </si>
  <si>
    <t>Heladera 12/24v 98 litros c/freezer</t>
  </si>
  <si>
    <t>Heladera 12/24v 108 litros c/freezer</t>
  </si>
  <si>
    <t>Heladera 12/24v 218 litros c/freezer</t>
  </si>
  <si>
    <t>Heladera 12/24v 298 litros c/freezer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</si>
</sst>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d-m"/>
    <numFmt numFmtId="166" formatCode="0.00000"/>
    <numFmt numFmtId="167" formatCode="0.0"/>
  </numFmts>
  <fonts count="69">
    <font>
      <sz val="10.0"/>
      <color rgb="FF000000"/>
      <name val="Arial"/>
      <scheme val="minor"/>
    </font>
    <font>
      <sz val="11.0"/>
      <color rgb="FF000000"/>
      <name val="Arial"/>
    </font>
    <font/>
    <font>
      <sz val="35.0"/>
      <color rgb="FF000000"/>
      <name val="Arial"/>
    </font>
    <font>
      <b/>
      <u/>
      <sz val="12.0"/>
      <color rgb="FF0000FF"/>
      <name val="Arial"/>
    </font>
    <font>
      <color theme="1"/>
      <name val="Arial"/>
      <scheme val="minor"/>
    </font>
    <font>
      <b/>
      <u/>
      <sz val="11.0"/>
      <color rgb="FF0000FF"/>
      <name val="Arial"/>
    </font>
    <font>
      <color rgb="FF4A86E8"/>
      <name val="Arial"/>
      <scheme val="minor"/>
    </font>
    <font>
      <b/>
      <sz val="11.0"/>
      <color rgb="FF000000"/>
      <name val="Arial"/>
    </font>
    <font>
      <b/>
      <sz val="11.0"/>
      <color rgb="FFFFFF00"/>
      <name val="Arial"/>
    </font>
    <font>
      <b/>
      <sz val="11.0"/>
      <color rgb="FF000000"/>
      <name val="&quot;Aptos Narrow&quot;"/>
    </font>
    <font>
      <sz val="11.0"/>
      <color rgb="FF434343"/>
      <name val="Arial"/>
    </font>
    <font>
      <u/>
      <color rgb="FF4A86E8"/>
      <name val="Arial"/>
      <scheme val="minor"/>
    </font>
    <font>
      <u/>
      <color rgb="FF0000FF"/>
    </font>
    <font>
      <u/>
      <color rgb="FF0000FF"/>
    </font>
    <font>
      <u/>
      <color rgb="FF4A86E8"/>
    </font>
    <font>
      <u/>
      <color rgb="FF0000FF"/>
    </font>
    <font>
      <color rgb="FFFF00FF"/>
      <name val="Arial"/>
      <scheme val="minor"/>
    </font>
    <font>
      <color rgb="FF000000"/>
      <name val="Arial"/>
      <scheme val="minor"/>
    </font>
    <font>
      <u/>
      <color rgb="FF0000FF"/>
    </font>
    <font>
      <u/>
      <color rgb="FF4A86E8"/>
    </font>
    <font>
      <color rgb="FFFF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4A86E8"/>
    </font>
    <font>
      <u/>
      <color rgb="FF4A86E8"/>
    </font>
    <font>
      <b/>
      <u/>
      <sz val="11.0"/>
      <color rgb="FFFF0000"/>
      <name val="Arial"/>
    </font>
    <font>
      <b/>
      <u/>
      <sz val="11.0"/>
      <color rgb="FF000000"/>
      <name val="Arial"/>
    </font>
    <font>
      <b/>
      <u/>
      <sz val="11.0"/>
      <color theme="1"/>
      <name val="Arial"/>
    </font>
    <font>
      <u/>
      <color rgb="FF4A86E8"/>
    </font>
    <font>
      <u/>
      <color rgb="FF4A86E8"/>
    </font>
    <font>
      <sz val="11.0"/>
      <color rgb="FF000000"/>
      <name val="Arial"/>
      <scheme val="minor"/>
    </font>
    <font>
      <u/>
      <sz val="10.0"/>
      <color rgb="FF4A86E8"/>
    </font>
    <font>
      <sz val="10.0"/>
      <color rgb="FF4A86E8"/>
      <name val="Arial"/>
      <scheme val="minor"/>
    </font>
    <font>
      <u/>
      <sz val="10.0"/>
      <color rgb="FF0000FF"/>
    </font>
    <font>
      <u/>
      <sz val="10.0"/>
      <color rgb="FF0000FF"/>
    </font>
    <font>
      <u/>
      <sz val="10.0"/>
      <color rgb="FF4A86E8"/>
    </font>
    <font>
      <u/>
      <sz val="10.0"/>
      <color rgb="FF4A86E8"/>
    </font>
    <font>
      <sz val="10.0"/>
      <color theme="1"/>
      <name val="Arial"/>
      <scheme val="minor"/>
    </font>
    <font>
      <b/>
      <sz val="11.0"/>
      <color theme="1"/>
      <name val="Arial"/>
    </font>
    <font>
      <u/>
      <color rgb="FF4A86E8"/>
    </font>
    <font>
      <u/>
      <color theme="4"/>
    </font>
    <font>
      <u/>
      <color rgb="FF0000FF"/>
    </font>
    <font>
      <b/>
      <u/>
      <sz val="11.0"/>
      <color rgb="FF0000FF"/>
      <name val="Arial"/>
    </font>
    <font>
      <sz val="11.0"/>
      <color rgb="FF000000"/>
      <name val="&quot;Aptos Narrow&quot;"/>
    </font>
    <font>
      <u/>
      <color rgb="FF3C78D8"/>
    </font>
    <font>
      <u/>
      <sz val="10.0"/>
      <color rgb="FF4A86E8"/>
      <name val="Arial"/>
    </font>
    <font>
      <u/>
      <color rgb="FF4285F4"/>
    </font>
    <font>
      <u/>
      <sz val="11.0"/>
      <color rgb="FF0000FF"/>
      <name val="Arial"/>
    </font>
    <font>
      <u/>
      <color rgb="FF0000FF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u/>
      <sz val="11.0"/>
      <color rgb="FF3C78D8"/>
      <name val="Arial"/>
    </font>
    <font>
      <u/>
      <sz val="10.0"/>
      <color rgb="FF0000FF"/>
      <name val="Arial"/>
    </font>
    <font>
      <sz val="10.0"/>
      <color theme="1"/>
      <name val="Arial"/>
    </font>
    <font>
      <u/>
      <sz val="10.0"/>
      <color rgb="FF0000FF"/>
      <name val="Arial"/>
    </font>
    <font>
      <b/>
      <u/>
      <sz val="11.0"/>
      <color rgb="FF000000"/>
      <name val="Arial"/>
    </font>
    <font>
      <b/>
      <u/>
      <sz val="11.0"/>
      <color rgb="FF434343"/>
      <name val="Arial"/>
    </font>
    <font>
      <u/>
      <sz val="11.0"/>
      <color rgb="FF434343"/>
      <name val="&quot;Aptos Narrow&quot;"/>
    </font>
    <font>
      <u/>
      <sz val="11.0"/>
      <color rgb="FF434343"/>
      <name val="&quot;Aptos Narrow&quot;"/>
    </font>
    <font>
      <color rgb="FF434343"/>
      <name val="Arial"/>
      <scheme val="minor"/>
    </font>
    <font>
      <color rgb="FF000000"/>
      <name val="Arial"/>
    </font>
    <font>
      <color rgb="FF434343"/>
      <name val="Arial"/>
    </font>
    <font>
      <sz val="11.0"/>
      <color theme="1"/>
      <name val="Calibri"/>
    </font>
    <font>
      <sz val="11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C27BA0"/>
        <bgColor rgb="FFC27BA0"/>
      </patternFill>
    </fill>
    <fill>
      <patternFill patternType="solid">
        <fgColor rgb="FFBF9000"/>
        <bgColor rgb="FFBF90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DD7E6B"/>
        <bgColor rgb="FFDD7E6B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</fills>
  <borders count="2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2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 shrinkToFit="0" vertical="center" wrapText="1"/>
    </xf>
    <xf borderId="5" fillId="2" fontId="4" numFmtId="0" xfId="0" applyAlignment="1" applyBorder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vertical="center"/>
    </xf>
    <xf borderId="0" fillId="2" fontId="5" numFmtId="0" xfId="0" applyFont="1"/>
    <xf borderId="0" fillId="2" fontId="6" numFmtId="0" xfId="0" applyAlignment="1" applyFont="1">
      <alignment horizontal="center" readingOrder="0" vertical="center"/>
    </xf>
    <xf borderId="6" fillId="0" fontId="2" numFmtId="0" xfId="0" applyBorder="1" applyFont="1"/>
    <xf borderId="7" fillId="0" fontId="7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left" readingOrder="0" shrinkToFit="0" vertical="center" wrapText="1"/>
    </xf>
    <xf borderId="8" fillId="3" fontId="8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10" fillId="3" fontId="8" numFmtId="0" xfId="0" applyAlignment="1" applyBorder="1" applyFont="1">
      <alignment horizontal="left" readingOrder="0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0" fillId="4" fontId="8" numFmtId="0" xfId="0" applyAlignment="1" applyBorder="1" applyFill="1" applyFont="1">
      <alignment horizontal="left" readingOrder="0" shrinkToFit="0" vertical="center" wrapText="1"/>
    </xf>
    <xf borderId="15" fillId="5" fontId="8" numFmtId="0" xfId="0" applyAlignment="1" applyBorder="1" applyFill="1" applyFont="1">
      <alignment horizontal="center" readingOrder="0" shrinkToFit="0" vertical="center" wrapText="1"/>
    </xf>
    <xf borderId="15" fillId="5" fontId="9" numFmtId="0" xfId="0" applyAlignment="1" applyBorder="1" applyFont="1">
      <alignment horizontal="center" readingOrder="0" shrinkToFit="0" vertical="center" wrapText="1"/>
    </xf>
    <xf borderId="16" fillId="5" fontId="8" numFmtId="0" xfId="0" applyAlignment="1" applyBorder="1" applyFont="1">
      <alignment horizontal="center" readingOrder="0" shrinkToFit="0" vertical="center" wrapText="1"/>
    </xf>
    <xf borderId="8" fillId="5" fontId="10" numFmtId="0" xfId="0" applyAlignment="1" applyBorder="1" applyFont="1">
      <alignment horizontal="center" vertical="center"/>
    </xf>
    <xf borderId="17" fillId="0" fontId="2" numFmtId="0" xfId="0" applyBorder="1" applyFont="1"/>
    <xf borderId="18" fillId="2" fontId="1" numFmtId="0" xfId="0" applyAlignment="1" applyBorder="1" applyFont="1">
      <alignment horizontal="center" readingOrder="0" vertical="center"/>
    </xf>
    <xf borderId="19" fillId="2" fontId="11" numFmtId="0" xfId="0" applyAlignment="1" applyBorder="1" applyFont="1">
      <alignment readingOrder="0" vertical="center"/>
    </xf>
    <xf borderId="19" fillId="2" fontId="1" numFmtId="0" xfId="0" applyAlignment="1" applyBorder="1" applyFont="1">
      <alignment readingOrder="0" vertical="center"/>
    </xf>
    <xf borderId="19" fillId="3" fontId="1" numFmtId="164" xfId="0" applyAlignment="1" applyBorder="1" applyFont="1" applyNumberFormat="1">
      <alignment horizontal="right" readingOrder="0" vertical="center"/>
    </xf>
    <xf borderId="19" fillId="2" fontId="12" numFmtId="0" xfId="0" applyAlignment="1" applyBorder="1" applyFont="1">
      <alignment horizontal="center" readingOrder="0" vertical="center"/>
    </xf>
    <xf borderId="19" fillId="2" fontId="13" numFmtId="0" xfId="0" applyAlignment="1" applyBorder="1" applyFont="1">
      <alignment horizontal="center" readingOrder="0" vertical="center"/>
    </xf>
    <xf borderId="18" fillId="0" fontId="14" numFmtId="0" xfId="0" applyAlignment="1" applyBorder="1" applyFont="1">
      <alignment horizontal="center" readingOrder="0" vertical="center"/>
    </xf>
    <xf borderId="18" fillId="0" fontId="15" numFmtId="0" xfId="0" applyAlignment="1" applyBorder="1" applyFont="1">
      <alignment horizontal="center" readingOrder="0" vertical="center"/>
    </xf>
    <xf borderId="18" fillId="0" fontId="7" numFmtId="0" xfId="0" applyAlignment="1" applyBorder="1" applyFont="1">
      <alignment horizontal="center" readingOrder="0" vertical="center"/>
    </xf>
    <xf borderId="19" fillId="3" fontId="11" numFmtId="0" xfId="0" applyAlignment="1" applyBorder="1" applyFont="1">
      <alignment readingOrder="0" vertical="center"/>
    </xf>
    <xf borderId="19" fillId="3" fontId="1" numFmtId="0" xfId="0" applyAlignment="1" applyBorder="1" applyFont="1">
      <alignment readingOrder="0" vertical="center"/>
    </xf>
    <xf borderId="18" fillId="3" fontId="16" numFmtId="0" xfId="0" applyAlignment="1" applyBorder="1" applyFont="1">
      <alignment horizontal="center" readingOrder="0" vertical="center"/>
    </xf>
    <xf borderId="0" fillId="3" fontId="5" numFmtId="0" xfId="0" applyFont="1"/>
    <xf borderId="0" fillId="0" fontId="17" numFmtId="0" xfId="0" applyAlignment="1" applyFont="1">
      <alignment readingOrder="0"/>
    </xf>
    <xf borderId="18" fillId="2" fontId="1" numFmtId="165" xfId="0" applyAlignment="1" applyBorder="1" applyFont="1" applyNumberFormat="1">
      <alignment horizontal="center" readingOrder="0" vertical="center"/>
    </xf>
    <xf borderId="18" fillId="3" fontId="5" numFmtId="0" xfId="0" applyAlignment="1" applyBorder="1" applyFont="1">
      <alignment horizontal="center" readingOrder="0" vertical="center"/>
    </xf>
    <xf borderId="0" fillId="0" fontId="18" numFmtId="0" xfId="0" applyFont="1"/>
    <xf borderId="0" fillId="0" fontId="18" numFmtId="0" xfId="0" applyAlignment="1" applyFont="1">
      <alignment vertical="center"/>
    </xf>
    <xf borderId="19" fillId="6" fontId="11" numFmtId="0" xfId="0" applyAlignment="1" applyBorder="1" applyFill="1" applyFont="1">
      <alignment readingOrder="0" vertical="center"/>
    </xf>
    <xf borderId="19" fillId="6" fontId="1" numFmtId="0" xfId="0" applyAlignment="1" applyBorder="1" applyFont="1">
      <alignment readingOrder="0" vertical="center"/>
    </xf>
    <xf borderId="19" fillId="6" fontId="1" numFmtId="164" xfId="0" applyAlignment="1" applyBorder="1" applyFont="1" applyNumberFormat="1">
      <alignment horizontal="right" readingOrder="0" vertical="center"/>
    </xf>
    <xf borderId="18" fillId="2" fontId="7" numFmtId="0" xfId="0" applyAlignment="1" applyBorder="1" applyFont="1">
      <alignment horizontal="center" readingOrder="0" vertical="center"/>
    </xf>
    <xf borderId="18" fillId="2" fontId="19" numFmtId="0" xfId="0" applyAlignment="1" applyBorder="1" applyFont="1">
      <alignment horizontal="center" readingOrder="0" vertical="center"/>
    </xf>
    <xf borderId="18" fillId="2" fontId="20" numFmtId="0" xfId="0" applyAlignment="1" applyBorder="1" applyFont="1">
      <alignment horizontal="center" readingOrder="0" vertical="center"/>
    </xf>
    <xf borderId="0" fillId="0" fontId="21" numFmtId="0" xfId="0" applyFont="1"/>
    <xf borderId="20" fillId="2" fontId="22" numFmtId="0" xfId="0" applyAlignment="1" applyBorder="1" applyFont="1">
      <alignment horizontal="center" readingOrder="0" vertical="center"/>
    </xf>
    <xf borderId="19" fillId="4" fontId="11" numFmtId="0" xfId="0" applyAlignment="1" applyBorder="1" applyFont="1">
      <alignment readingOrder="0" vertical="center"/>
    </xf>
    <xf borderId="19" fillId="4" fontId="1" numFmtId="0" xfId="0" applyAlignment="1" applyBorder="1" applyFont="1">
      <alignment readingOrder="0" vertical="center"/>
    </xf>
    <xf borderId="19" fillId="4" fontId="1" numFmtId="164" xfId="0" applyAlignment="1" applyBorder="1" applyFont="1" applyNumberFormat="1">
      <alignment horizontal="right" readingOrder="0" vertical="center"/>
    </xf>
    <xf borderId="20" fillId="3" fontId="23" numFmtId="0" xfId="0" applyAlignment="1" applyBorder="1" applyFont="1">
      <alignment horizontal="center" readingOrder="0" vertical="center"/>
    </xf>
    <xf borderId="0" fillId="3" fontId="17" numFmtId="0" xfId="0" applyAlignment="1" applyFont="1">
      <alignment readingOrder="0"/>
    </xf>
    <xf borderId="0" fillId="3" fontId="21" numFmtId="0" xfId="0" applyFont="1"/>
    <xf borderId="21" fillId="0" fontId="5" numFmtId="0" xfId="0" applyAlignment="1" applyBorder="1" applyFont="1">
      <alignment horizontal="center" readingOrder="0" vertical="center"/>
    </xf>
    <xf borderId="16" fillId="0" fontId="17" numFmtId="0" xfId="0" applyAlignment="1" applyBorder="1" applyFont="1">
      <alignment horizontal="left" readingOrder="0" vertical="center"/>
    </xf>
    <xf borderId="21" fillId="0" fontId="24" numFmtId="0" xfId="0" applyAlignment="1" applyBorder="1" applyFont="1">
      <alignment horizontal="center" readingOrder="0" vertical="center"/>
    </xf>
    <xf borderId="20" fillId="0" fontId="5" numFmtId="0" xfId="0" applyAlignment="1" applyBorder="1" applyFont="1">
      <alignment horizontal="center" readingOrder="0" vertical="center"/>
    </xf>
    <xf borderId="20" fillId="0" fontId="25" numFmtId="0" xfId="0" applyAlignment="1" applyBorder="1" applyFont="1">
      <alignment horizontal="center" readingOrder="0" vertical="center"/>
    </xf>
    <xf borderId="22" fillId="3" fontId="26" numFmtId="0" xfId="0" applyAlignment="1" applyBorder="1" applyFont="1">
      <alignment horizontal="center" readingOrder="0" vertical="center"/>
    </xf>
    <xf borderId="23" fillId="3" fontId="1" numFmtId="164" xfId="0" applyAlignment="1" applyBorder="1" applyFont="1" applyNumberFormat="1">
      <alignment horizontal="right" readingOrder="0" vertical="center"/>
    </xf>
    <xf borderId="11" fillId="7" fontId="8" numFmtId="0" xfId="0" applyAlignment="1" applyBorder="1" applyFill="1" applyFont="1">
      <alignment horizontal="center" readingOrder="0" vertical="center"/>
    </xf>
    <xf borderId="24" fillId="0" fontId="2" numFmtId="0" xfId="0" applyBorder="1" applyFont="1"/>
    <xf borderId="24" fillId="0" fontId="7" numFmtId="0" xfId="0" applyAlignment="1" applyBorder="1" applyFont="1">
      <alignment horizontal="center" readingOrder="0" vertical="center"/>
    </xf>
    <xf borderId="18" fillId="3" fontId="1" numFmtId="2" xfId="0" applyAlignment="1" applyBorder="1" applyFont="1" applyNumberFormat="1">
      <alignment horizontal="right" readingOrder="0" vertical="center"/>
    </xf>
    <xf borderId="11" fillId="7" fontId="8" numFmtId="0" xfId="0" applyAlignment="1" applyBorder="1" applyFont="1">
      <alignment horizontal="center" readingOrder="0"/>
    </xf>
    <xf borderId="24" fillId="3" fontId="1" numFmtId="2" xfId="0" applyAlignment="1" applyBorder="1" applyFont="1" applyNumberFormat="1">
      <alignment horizontal="right" readingOrder="0" vertical="center"/>
    </xf>
    <xf borderId="24" fillId="0" fontId="7" numFmtId="0" xfId="0" applyAlignment="1" applyBorder="1" applyFont="1">
      <alignment horizontal="center" vertical="center"/>
    </xf>
    <xf borderId="24" fillId="0" fontId="5" numFmtId="0" xfId="0" applyAlignment="1" applyBorder="1" applyFont="1">
      <alignment horizontal="center" readingOrder="0" vertical="center"/>
    </xf>
    <xf borderId="24" fillId="0" fontId="27" numFmtId="0" xfId="0" applyAlignment="1" applyBorder="1" applyFont="1">
      <alignment horizontal="center" readingOrder="0" vertical="center"/>
    </xf>
    <xf borderId="19" fillId="3" fontId="1" numFmtId="2" xfId="0" applyAlignment="1" applyBorder="1" applyFont="1" applyNumberFormat="1">
      <alignment horizontal="right" readingOrder="0" vertical="center"/>
    </xf>
    <xf borderId="19" fillId="0" fontId="28" numFmtId="0" xfId="0" applyAlignment="1" applyBorder="1" applyFont="1">
      <alignment horizontal="center" readingOrder="0" vertical="center"/>
    </xf>
    <xf borderId="19" fillId="0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29" numFmtId="0" xfId="0" applyAlignment="1" applyFont="1">
      <alignment horizontal="center" readingOrder="0"/>
    </xf>
    <xf borderId="18" fillId="0" fontId="7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center" vertical="center"/>
    </xf>
    <xf borderId="18" fillId="2" fontId="1" numFmtId="2" xfId="0" applyAlignment="1" applyBorder="1" applyFont="1" applyNumberFormat="1">
      <alignment horizontal="right" readingOrder="0" vertical="center"/>
    </xf>
    <xf borderId="0" fillId="3" fontId="30" numFmtId="0" xfId="0" applyAlignment="1" applyFont="1">
      <alignment horizontal="center" vertical="bottom"/>
    </xf>
    <xf borderId="0" fillId="3" fontId="31" numFmtId="0" xfId="0" applyAlignment="1" applyFont="1">
      <alignment horizontal="center" vertical="bottom"/>
    </xf>
    <xf borderId="0" fillId="3" fontId="32" numFmtId="0" xfId="0" applyAlignment="1" applyFont="1">
      <alignment horizontal="center" vertical="bottom"/>
    </xf>
    <xf borderId="18" fillId="3" fontId="7" numFmtId="0" xfId="0" applyAlignment="1" applyBorder="1" applyFont="1">
      <alignment horizontal="center" vertical="center"/>
    </xf>
    <xf borderId="25" fillId="0" fontId="17" numFmtId="0" xfId="0" applyAlignment="1" applyBorder="1" applyFont="1">
      <alignment horizontal="left" readingOrder="0" vertical="center"/>
    </xf>
    <xf borderId="24" fillId="0" fontId="33" numFmtId="0" xfId="0" applyAlignment="1" applyBorder="1" applyFont="1">
      <alignment horizontal="center" readingOrder="0" vertical="center"/>
    </xf>
    <xf borderId="11" fillId="0" fontId="34" numFmtId="0" xfId="0" applyAlignment="1" applyBorder="1" applyFont="1">
      <alignment horizontal="center" readingOrder="0" vertical="center"/>
    </xf>
    <xf borderId="11" fillId="8" fontId="8" numFmtId="0" xfId="0" applyAlignment="1" applyBorder="1" applyFill="1" applyFont="1">
      <alignment horizontal="center" readingOrder="0" vertical="center"/>
    </xf>
    <xf borderId="24" fillId="6" fontId="1" numFmtId="2" xfId="0" applyAlignment="1" applyBorder="1" applyFont="1" applyNumberFormat="1">
      <alignment horizontal="right" readingOrder="0" vertical="center"/>
    </xf>
    <xf borderId="24" fillId="0" fontId="35" numFmtId="2" xfId="0" applyAlignment="1" applyBorder="1" applyFont="1" applyNumberFormat="1">
      <alignment horizontal="right" readingOrder="0" vertical="center"/>
    </xf>
    <xf borderId="11" fillId="4" fontId="8" numFmtId="0" xfId="0" applyAlignment="1" applyBorder="1" applyFont="1">
      <alignment horizontal="center" readingOrder="0" vertical="center"/>
    </xf>
    <xf borderId="18" fillId="0" fontId="1" numFmtId="2" xfId="0" applyAlignment="1" applyBorder="1" applyFont="1" applyNumberFormat="1">
      <alignment horizontal="right" readingOrder="0" shrinkToFit="0" vertical="center" wrapText="1"/>
    </xf>
    <xf borderId="18" fillId="0" fontId="36" numFmtId="0" xfId="0" applyAlignment="1" applyBorder="1" applyFont="1">
      <alignment horizontal="center" readingOrder="0" shrinkToFit="0" vertical="center" wrapText="1"/>
    </xf>
    <xf borderId="18" fillId="0" fontId="37" numFmtId="0" xfId="0" applyAlignment="1" applyBorder="1" applyFont="1">
      <alignment horizontal="center" readingOrder="0" shrinkToFit="0" vertical="center" wrapText="1"/>
    </xf>
    <xf borderId="24" fillId="0" fontId="1" numFmtId="2" xfId="0" applyAlignment="1" applyBorder="1" applyFont="1" applyNumberFormat="1">
      <alignment horizontal="right" readingOrder="0" shrinkToFit="0" vertical="center" wrapText="1"/>
    </xf>
    <xf borderId="24" fillId="0" fontId="38" numFmtId="0" xfId="0" applyAlignment="1" applyBorder="1" applyFont="1">
      <alignment horizontal="center" readingOrder="0" shrinkToFit="0" vertical="center" wrapText="1"/>
    </xf>
    <xf borderId="24" fillId="0" fontId="37" numFmtId="0" xfId="0" applyAlignment="1" applyBorder="1" applyFont="1">
      <alignment horizontal="center" readingOrder="0" shrinkToFit="0" vertical="center" wrapText="1"/>
    </xf>
    <xf borderId="18" fillId="0" fontId="39" numFmtId="0" xfId="0" applyAlignment="1" applyBorder="1" applyFont="1">
      <alignment horizontal="center" readingOrder="0" shrinkToFit="0" vertical="center" wrapText="1"/>
    </xf>
    <xf borderId="24" fillId="0" fontId="40" numFmtId="0" xfId="0" applyAlignment="1" applyBorder="1" applyFont="1">
      <alignment horizontal="center" readingOrder="0" shrinkToFit="0" vertical="center" wrapText="1"/>
    </xf>
    <xf borderId="24" fillId="3" fontId="37" numFmtId="0" xfId="0" applyAlignment="1" applyBorder="1" applyFont="1">
      <alignment horizontal="center" readingOrder="0" shrinkToFit="0" vertical="center" wrapText="1"/>
    </xf>
    <xf borderId="24" fillId="3" fontId="41" numFmtId="0" xfId="0" applyAlignment="1" applyBorder="1" applyFont="1">
      <alignment horizontal="center" readingOrder="0" shrinkToFit="0" vertical="center" wrapText="1"/>
    </xf>
    <xf borderId="24" fillId="0" fontId="42" numFmtId="0" xfId="0" applyAlignment="1" applyBorder="1" applyFont="1">
      <alignment horizontal="center" readingOrder="0" shrinkToFit="0" vertical="center" wrapText="1"/>
    </xf>
    <xf borderId="24" fillId="0" fontId="1" numFmtId="4" xfId="0" applyAlignment="1" applyBorder="1" applyFont="1" applyNumberFormat="1">
      <alignment horizontal="right" readingOrder="0" shrinkToFit="0" vertical="center" wrapText="1"/>
    </xf>
    <xf borderId="11" fillId="4" fontId="43" numFmtId="0" xfId="0" applyAlignment="1" applyBorder="1" applyFont="1">
      <alignment horizontal="center" readingOrder="0"/>
    </xf>
    <xf borderId="11" fillId="9" fontId="8" numFmtId="0" xfId="0" applyAlignment="1" applyBorder="1" applyFill="1" applyFont="1">
      <alignment horizontal="center" readingOrder="0" vertical="center"/>
    </xf>
    <xf borderId="18" fillId="3" fontId="1" numFmtId="0" xfId="0" applyAlignment="1" applyBorder="1" applyFont="1">
      <alignment horizontal="center" readingOrder="0" vertical="center"/>
    </xf>
    <xf borderId="18" fillId="3" fontId="44" numFmtId="0" xfId="0" applyAlignment="1" applyBorder="1" applyFont="1">
      <alignment horizontal="center" readingOrder="0" vertical="center"/>
    </xf>
    <xf borderId="18" fillId="0" fontId="45" numFmtId="0" xfId="0" applyAlignment="1" applyBorder="1" applyFont="1">
      <alignment horizontal="center" readingOrder="0" vertical="center"/>
    </xf>
    <xf borderId="18" fillId="0" fontId="5" numFmtId="0" xfId="0" applyBorder="1" applyFont="1"/>
    <xf borderId="0" fillId="0" fontId="17" numFmtId="0" xfId="0" applyAlignment="1" applyFont="1">
      <alignment horizontal="center" readingOrder="0"/>
    </xf>
    <xf borderId="24" fillId="3" fontId="46" numFmtId="0" xfId="0" applyAlignment="1" applyBorder="1" applyFont="1">
      <alignment horizontal="center" readingOrder="0" vertical="center"/>
    </xf>
    <xf borderId="0" fillId="3" fontId="18" numFmtId="0" xfId="0" applyFont="1"/>
    <xf borderId="18" fillId="6" fontId="1" numFmtId="2" xfId="0" applyAlignment="1" applyBorder="1" applyFont="1" applyNumberFormat="1">
      <alignment horizontal="right" readingOrder="0" vertical="center"/>
    </xf>
    <xf borderId="11" fillId="9" fontId="47" numFmtId="0" xfId="0" applyAlignment="1" applyBorder="1" applyFont="1">
      <alignment horizontal="center" readingOrder="0" vertical="center"/>
    </xf>
    <xf borderId="24" fillId="0" fontId="48" numFmtId="2" xfId="0" applyAlignment="1" applyBorder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24" fillId="0" fontId="1" numFmtId="2" xfId="0" applyAlignment="1" applyBorder="1" applyFont="1" applyNumberFormat="1">
      <alignment horizontal="right" readingOrder="0" shrinkToFit="0" vertical="bottom" wrapText="0"/>
    </xf>
    <xf borderId="11" fillId="10" fontId="8" numFmtId="0" xfId="0" applyAlignment="1" applyBorder="1" applyFill="1" applyFont="1">
      <alignment horizontal="center" readingOrder="0" vertical="center"/>
    </xf>
    <xf borderId="11" fillId="11" fontId="8" numFmtId="0" xfId="0" applyAlignment="1" applyBorder="1" applyFill="1" applyFont="1">
      <alignment horizontal="center" readingOrder="0" vertical="center"/>
    </xf>
    <xf borderId="18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/>
    </xf>
    <xf borderId="11" fillId="12" fontId="8" numFmtId="0" xfId="0" applyAlignment="1" applyBorder="1" applyFill="1" applyFont="1">
      <alignment horizontal="center" readingOrder="0" vertical="center"/>
    </xf>
    <xf borderId="18" fillId="0" fontId="49" numFmtId="0" xfId="0" applyAlignment="1" applyBorder="1" applyFont="1">
      <alignment horizontal="center" readingOrder="0" vertical="center"/>
    </xf>
    <xf borderId="24" fillId="3" fontId="1" numFmtId="2" xfId="0" applyAlignment="1" applyBorder="1" applyFont="1" applyNumberFormat="1">
      <alignment horizontal="center" readingOrder="0" vertical="center"/>
    </xf>
    <xf borderId="24" fillId="3" fontId="50" numFmtId="0" xfId="0" applyAlignment="1" applyBorder="1" applyFont="1">
      <alignment horizontal="center" readingOrder="0" vertical="center"/>
    </xf>
    <xf borderId="18" fillId="3" fontId="1" numFmtId="165" xfId="0" applyAlignment="1" applyBorder="1" applyFont="1" applyNumberFormat="1">
      <alignment horizontal="center" readingOrder="0" vertical="center"/>
    </xf>
    <xf borderId="11" fillId="3" fontId="11" numFmtId="0" xfId="0" applyAlignment="1" applyBorder="1" applyFont="1">
      <alignment horizontal="center" readingOrder="0" vertical="center"/>
    </xf>
    <xf borderId="18" fillId="0" fontId="51" numFmtId="0" xfId="0" applyAlignment="1" applyBorder="1" applyFont="1">
      <alignment horizontal="center" readingOrder="0" vertical="center"/>
    </xf>
    <xf borderId="11" fillId="13" fontId="8" numFmtId="0" xfId="0" applyAlignment="1" applyBorder="1" applyFill="1" applyFont="1">
      <alignment horizontal="center" readingOrder="0" vertical="center"/>
    </xf>
    <xf borderId="24" fillId="3" fontId="1" numFmtId="0" xfId="0" applyAlignment="1" applyBorder="1" applyFont="1">
      <alignment horizontal="center" readingOrder="0" vertical="center"/>
    </xf>
    <xf borderId="18" fillId="3" fontId="11" numFmtId="0" xfId="0" applyAlignment="1" applyBorder="1" applyFont="1">
      <alignment horizontal="left" readingOrder="0" vertical="center"/>
    </xf>
    <xf borderId="24" fillId="6" fontId="1" numFmtId="0" xfId="0" applyAlignment="1" applyBorder="1" applyFont="1">
      <alignment horizontal="center" readingOrder="0" shrinkToFit="0" vertical="center" wrapText="1"/>
    </xf>
    <xf borderId="24" fillId="6" fontId="1" numFmtId="0" xfId="0" applyAlignment="1" applyBorder="1" applyFont="1">
      <alignment horizontal="right" readingOrder="0" vertical="center"/>
    </xf>
    <xf borderId="24" fillId="3" fontId="52" numFmtId="0" xfId="0" applyAlignment="1" applyBorder="1" applyFont="1">
      <alignment horizontal="center" readingOrder="0" vertical="center"/>
    </xf>
    <xf borderId="24" fillId="3" fontId="1" numFmtId="2" xfId="0" applyAlignment="1" applyBorder="1" applyFont="1" applyNumberFormat="1">
      <alignment horizontal="right" readingOrder="0" shrinkToFit="0" vertical="center" wrapText="1"/>
    </xf>
    <xf borderId="24" fillId="0" fontId="53" numFmtId="0" xfId="0" applyAlignment="1" applyBorder="1" applyFont="1">
      <alignment horizontal="center" readingOrder="0" shrinkToFit="0" vertical="center" wrapText="1"/>
    </xf>
    <xf borderId="24" fillId="0" fontId="1" numFmtId="2" xfId="0" applyAlignment="1" applyBorder="1" applyFont="1" applyNumberFormat="1">
      <alignment horizontal="right" readingOrder="0" shrinkToFit="0" wrapText="0"/>
    </xf>
    <xf borderId="11" fillId="6" fontId="8" numFmtId="0" xfId="0" applyAlignment="1" applyBorder="1" applyFont="1">
      <alignment horizontal="center" readingOrder="0" vertical="center"/>
    </xf>
    <xf borderId="24" fillId="0" fontId="35" numFmtId="2" xfId="0" applyAlignment="1" applyBorder="1" applyFont="1" applyNumberFormat="1">
      <alignment horizontal="right" readingOrder="0" shrinkToFit="0" vertical="center" wrapText="1"/>
    </xf>
    <xf borderId="11" fillId="14" fontId="8" numFmtId="0" xfId="0" applyAlignment="1" applyBorder="1" applyFill="1" applyFont="1">
      <alignment horizontal="center" readingOrder="0" vertical="center"/>
    </xf>
    <xf borderId="18" fillId="0" fontId="35" numFmtId="2" xfId="0" applyAlignment="1" applyBorder="1" applyFont="1" applyNumberFormat="1">
      <alignment horizontal="right" readingOrder="0" shrinkToFit="0" vertical="center" wrapText="1"/>
    </xf>
    <xf borderId="18" fillId="3" fontId="54" numFmtId="0" xfId="0" applyAlignment="1" applyBorder="1" applyFont="1">
      <alignment horizontal="center" vertical="center"/>
    </xf>
    <xf borderId="11" fillId="15" fontId="8" numFmtId="0" xfId="0" applyAlignment="1" applyBorder="1" applyFill="1" applyFont="1">
      <alignment horizontal="center" readingOrder="0" vertical="center"/>
    </xf>
    <xf borderId="24" fillId="3" fontId="55" numFmtId="0" xfId="0" applyAlignment="1" applyBorder="1" applyFont="1">
      <alignment horizontal="center" vertical="center"/>
    </xf>
    <xf borderId="24" fillId="3" fontId="56" numFmtId="0" xfId="0" applyAlignment="1" applyBorder="1" applyFont="1">
      <alignment horizontal="center" readingOrder="0" vertical="center"/>
    </xf>
    <xf borderId="18" fillId="3" fontId="57" numFmtId="0" xfId="0" applyAlignment="1" applyBorder="1" applyFont="1">
      <alignment horizontal="center" readingOrder="0" vertical="center"/>
    </xf>
    <xf borderId="18" fillId="3" fontId="58" numFmtId="0" xfId="0" applyAlignment="1" applyBorder="1" applyFont="1">
      <alignment horizontal="center" readingOrder="0" vertical="center"/>
    </xf>
    <xf borderId="11" fillId="16" fontId="8" numFmtId="0" xfId="0" applyAlignment="1" applyBorder="1" applyFill="1" applyFont="1">
      <alignment horizontal="center" readingOrder="0" vertical="center"/>
    </xf>
    <xf borderId="0" fillId="3" fontId="59" numFmtId="0" xfId="0" applyAlignment="1" applyFont="1">
      <alignment horizontal="center" readingOrder="0" vertical="center"/>
    </xf>
    <xf borderId="0" fillId="3" fontId="60" numFmtId="0" xfId="0" applyAlignment="1" applyFont="1">
      <alignment horizontal="center" readingOrder="0" vertical="center"/>
    </xf>
    <xf borderId="8" fillId="3" fontId="61" numFmtId="0" xfId="0" applyAlignment="1" applyBorder="1" applyFont="1">
      <alignment horizontal="center" vertical="center"/>
    </xf>
    <xf borderId="13" fillId="0" fontId="11" numFmtId="0" xfId="0" applyAlignment="1" applyBorder="1" applyFont="1">
      <alignment horizontal="center" readingOrder="0" vertical="center"/>
    </xf>
    <xf borderId="13" fillId="0" fontId="11" numFmtId="0" xfId="0" applyAlignment="1" applyBorder="1" applyFont="1">
      <alignment horizontal="center" readingOrder="0" vertical="center"/>
    </xf>
    <xf borderId="13" fillId="0" fontId="62" numFmtId="0" xfId="0" applyAlignment="1" applyBorder="1" applyFont="1">
      <alignment horizontal="center" vertical="center"/>
    </xf>
    <xf borderId="26" fillId="0" fontId="63" numFmtId="0" xfId="0" applyAlignment="1" applyBorder="1" applyFont="1">
      <alignment horizontal="center" vertical="center"/>
    </xf>
    <xf borderId="27" fillId="0" fontId="2" numFmtId="0" xfId="0" applyBorder="1" applyFont="1"/>
    <xf borderId="7" fillId="0" fontId="2" numFmtId="0" xfId="0" applyBorder="1" applyFont="1"/>
    <xf borderId="0" fillId="0" fontId="18" numFmtId="0" xfId="0" applyAlignment="1" applyFont="1">
      <alignment horizontal="center" vertical="center"/>
    </xf>
    <xf borderId="0" fillId="0" fontId="64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35" numFmtId="2" xfId="0" applyAlignment="1" applyFont="1" applyNumberFormat="1">
      <alignment horizontal="right" vertical="center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readingOrder="0" vertical="center"/>
    </xf>
    <xf borderId="0" fillId="0" fontId="65" numFmtId="0" xfId="0" applyAlignment="1" applyFont="1">
      <alignment horizontal="center" vertical="center"/>
    </xf>
    <xf borderId="0" fillId="0" fontId="66" numFmtId="0" xfId="0" applyAlignment="1" applyFont="1">
      <alignment vertical="center"/>
    </xf>
    <xf borderId="0" fillId="0" fontId="1" numFmtId="2" xfId="0" applyAlignment="1" applyFont="1" applyNumberFormat="1">
      <alignment horizontal="right" vertical="center"/>
    </xf>
    <xf borderId="0" fillId="0" fontId="18" numFmtId="0" xfId="0" applyAlignment="1" applyFont="1">
      <alignment horizontal="center"/>
    </xf>
    <xf borderId="0" fillId="0" fontId="64" numFmtId="0" xfId="0" applyFont="1"/>
    <xf borderId="0" fillId="0" fontId="18" numFmtId="2" xfId="0" applyFont="1" applyNumberFormat="1"/>
    <xf borderId="25" fillId="17" fontId="5" numFmtId="0" xfId="0" applyAlignment="1" applyBorder="1" applyFill="1" applyFont="1">
      <alignment horizontal="center" readingOrder="0"/>
    </xf>
    <xf borderId="0" fillId="17" fontId="5" numFmtId="0" xfId="0" applyFont="1"/>
    <xf borderId="18" fillId="2" fontId="1" numFmtId="0" xfId="0" applyAlignment="1" applyBorder="1" applyFont="1">
      <alignment readingOrder="0" vertical="center"/>
    </xf>
    <xf borderId="18" fillId="0" fontId="5" numFmtId="164" xfId="0" applyAlignment="1" applyBorder="1" applyFont="1" applyNumberFormat="1">
      <alignment readingOrder="0"/>
    </xf>
    <xf borderId="18" fillId="0" fontId="5" numFmtId="164" xfId="0" applyBorder="1" applyFont="1" applyNumberFormat="1"/>
    <xf borderId="18" fillId="3" fontId="1" numFmtId="164" xfId="0" applyAlignment="1" applyBorder="1" applyFont="1" applyNumberFormat="1">
      <alignment horizontal="right" readingOrder="0" vertical="center"/>
    </xf>
    <xf borderId="18" fillId="0" fontId="17" numFmtId="0" xfId="0" applyAlignment="1" applyBorder="1" applyFont="1">
      <alignment readingOrder="0"/>
    </xf>
    <xf borderId="18" fillId="3" fontId="8" numFmtId="164" xfId="0" applyAlignment="1" applyBorder="1" applyFont="1" applyNumberFormat="1">
      <alignment horizontal="right" readingOrder="0" vertical="center"/>
    </xf>
    <xf borderId="18" fillId="3" fontId="5" numFmtId="166" xfId="0" applyAlignment="1" applyBorder="1" applyFont="1" applyNumberFormat="1">
      <alignment horizontal="right" readingOrder="0" vertical="center"/>
    </xf>
    <xf borderId="18" fillId="2" fontId="1" numFmtId="164" xfId="0" applyAlignment="1" applyBorder="1" applyFont="1" applyNumberFormat="1">
      <alignment horizontal="right" readingOrder="0" vertical="center"/>
    </xf>
    <xf borderId="18" fillId="0" fontId="17" numFmtId="0" xfId="0" applyAlignment="1" applyBorder="1" applyFont="1">
      <alignment horizontal="left" readingOrder="0" vertical="center"/>
    </xf>
    <xf borderId="25" fillId="7" fontId="43" numFmtId="0" xfId="0" applyAlignment="1" applyBorder="1" applyFont="1">
      <alignment horizontal="center" readingOrder="0"/>
    </xf>
    <xf borderId="18" fillId="3" fontId="67" numFmtId="0" xfId="0" applyAlignment="1" applyBorder="1" applyFont="1">
      <alignment vertical="bottom"/>
    </xf>
    <xf borderId="25" fillId="7" fontId="8" numFmtId="0" xfId="0" applyAlignment="1" applyBorder="1" applyFont="1">
      <alignment horizontal="center" readingOrder="0"/>
    </xf>
    <xf borderId="18" fillId="6" fontId="1" numFmtId="0" xfId="0" applyAlignment="1" applyBorder="1" applyFont="1">
      <alignment readingOrder="0" vertical="center"/>
    </xf>
    <xf borderId="18" fillId="3" fontId="1" numFmtId="2" xfId="0" applyAlignment="1" applyBorder="1" applyFont="1" applyNumberFormat="1">
      <alignment horizontal="right" vertical="center"/>
    </xf>
    <xf borderId="18" fillId="0" fontId="35" numFmtId="2" xfId="0" applyBorder="1" applyFont="1" applyNumberFormat="1"/>
    <xf borderId="18" fillId="0" fontId="35" numFmtId="2" xfId="0" applyAlignment="1" applyBorder="1" applyFont="1" applyNumberFormat="1">
      <alignment horizontal="right" readingOrder="0" vertical="center"/>
    </xf>
    <xf borderId="25" fillId="7" fontId="8" numFmtId="0" xfId="0" applyAlignment="1" applyBorder="1" applyFont="1">
      <alignment horizontal="center" readingOrder="0" vertical="center"/>
    </xf>
    <xf borderId="25" fillId="8" fontId="8" numFmtId="0" xfId="0" applyAlignment="1" applyBorder="1" applyFont="1">
      <alignment horizontal="center" readingOrder="0" vertical="center"/>
    </xf>
    <xf borderId="18" fillId="2" fontId="1" numFmtId="167" xfId="0" applyAlignment="1" applyBorder="1" applyFont="1" applyNumberFormat="1">
      <alignment horizontal="center" readingOrder="0" vertical="center"/>
    </xf>
    <xf borderId="25" fillId="4" fontId="8" numFmtId="0" xfId="0" applyAlignment="1" applyBorder="1" applyFont="1">
      <alignment horizontal="center" readingOrder="0" vertical="center"/>
    </xf>
    <xf borderId="18" fillId="3" fontId="1" numFmtId="2" xfId="0" applyAlignment="1" applyBorder="1" applyFont="1" applyNumberFormat="1">
      <alignment horizontal="right" readingOrder="0" shrinkToFit="0" vertical="center" wrapText="1"/>
    </xf>
    <xf borderId="18" fillId="0" fontId="1" numFmtId="4" xfId="0" applyAlignment="1" applyBorder="1" applyFont="1" applyNumberFormat="1">
      <alignment horizontal="right" readingOrder="0" shrinkToFit="0" vertical="center" wrapText="1"/>
    </xf>
    <xf borderId="25" fillId="4" fontId="43" numFmtId="0" xfId="0" applyAlignment="1" applyBorder="1" applyFont="1">
      <alignment horizontal="center" readingOrder="0"/>
    </xf>
    <xf borderId="25" fillId="9" fontId="8" numFmtId="0" xfId="0" applyAlignment="1" applyBorder="1" applyFont="1">
      <alignment horizontal="center" readingOrder="0" vertical="center"/>
    </xf>
    <xf borderId="18" fillId="0" fontId="68" numFmtId="0" xfId="0" applyBorder="1" applyFont="1"/>
    <xf borderId="18" fillId="0" fontId="17" numFmtId="0" xfId="0" applyAlignment="1" applyBorder="1" applyFont="1">
      <alignment horizontal="center" readingOrder="0"/>
    </xf>
    <xf borderId="18" fillId="0" fontId="21" numFmtId="0" xfId="0" applyBorder="1" applyFont="1"/>
    <xf borderId="18" fillId="2" fontId="1" numFmtId="4" xfId="0" applyAlignment="1" applyBorder="1" applyFont="1" applyNumberFormat="1">
      <alignment horizontal="right" shrinkToFit="0" vertical="center" wrapText="0"/>
    </xf>
    <xf borderId="18" fillId="0" fontId="48" numFmtId="2" xfId="0" applyAlignment="1" applyBorder="1" applyFont="1" applyNumberFormat="1">
      <alignment horizontal="right" readingOrder="0" shrinkToFit="0" vertical="bottom" wrapText="0"/>
    </xf>
    <xf borderId="25" fillId="10" fontId="8" numFmtId="0" xfId="0" applyAlignment="1" applyBorder="1" applyFont="1">
      <alignment horizontal="center" readingOrder="0" vertical="center"/>
    </xf>
    <xf borderId="25" fillId="11" fontId="8" numFmtId="0" xfId="0" applyAlignment="1" applyBorder="1" applyFont="1">
      <alignment horizontal="center" readingOrder="0" vertical="center"/>
    </xf>
    <xf borderId="25" fillId="12" fontId="8" numFmtId="0" xfId="0" applyAlignment="1" applyBorder="1" applyFont="1">
      <alignment horizontal="center" readingOrder="0" vertical="center"/>
    </xf>
    <xf borderId="18" fillId="3" fontId="1" numFmtId="2" xfId="0" applyAlignment="1" applyBorder="1" applyFont="1" applyNumberFormat="1">
      <alignment horizontal="center" readingOrder="0" vertical="center"/>
    </xf>
    <xf borderId="25" fillId="13" fontId="8" numFmtId="0" xfId="0" applyAlignment="1" applyBorder="1" applyFont="1">
      <alignment horizontal="center" readingOrder="0" vertical="center"/>
    </xf>
    <xf borderId="18" fillId="0" fontId="5" numFmtId="0" xfId="0" applyAlignment="1" applyBorder="1" applyFont="1">
      <alignment horizontal="center" readingOrder="0"/>
    </xf>
    <xf borderId="18" fillId="3" fontId="8" numFmtId="0" xfId="0" applyAlignment="1" applyBorder="1" applyFont="1">
      <alignment horizontal="center" readingOrder="0" vertical="center"/>
    </xf>
    <xf borderId="18" fillId="6" fontId="1" numFmtId="0" xfId="0" applyAlignment="1" applyBorder="1" applyFont="1">
      <alignment horizontal="center" readingOrder="0" shrinkToFit="0" vertical="center" wrapText="1"/>
    </xf>
    <xf borderId="18" fillId="3" fontId="5" numFmtId="0" xfId="0" applyAlignment="1" applyBorder="1" applyFont="1">
      <alignment readingOrder="0"/>
    </xf>
    <xf borderId="18" fillId="2" fontId="1" numFmtId="2" xfId="0" applyAlignment="1" applyBorder="1" applyFont="1" applyNumberFormat="1">
      <alignment readingOrder="0" vertical="center"/>
    </xf>
    <xf borderId="18" fillId="0" fontId="1" numFmtId="2" xfId="0" applyAlignment="1" applyBorder="1" applyFont="1" applyNumberFormat="1">
      <alignment horizontal="right" readingOrder="0" shrinkToFit="0" wrapText="0"/>
    </xf>
    <xf borderId="25" fillId="6" fontId="8" numFmtId="0" xfId="0" applyAlignment="1" applyBorder="1" applyFont="1">
      <alignment horizontal="center" readingOrder="0" vertical="center"/>
    </xf>
    <xf borderId="25" fillId="14" fontId="8" numFmtId="0" xfId="0" applyAlignment="1" applyBorder="1" applyFont="1">
      <alignment horizontal="center" readingOrder="0" vertical="center"/>
    </xf>
    <xf borderId="18" fillId="2" fontId="1" numFmtId="4" xfId="0" applyAlignment="1" applyBorder="1" applyFont="1" applyNumberFormat="1">
      <alignment readingOrder="0" vertical="center"/>
    </xf>
    <xf borderId="25" fillId="15" fontId="8" numFmtId="0" xfId="0" applyAlignment="1" applyBorder="1" applyFont="1">
      <alignment horizontal="center" readingOrder="0" vertical="center"/>
    </xf>
    <xf borderId="25" fillId="16" fontId="8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723900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n_PRVHH7VH8MgqtnZcqm_HLcOuU82j1-/view?usp=drive_link" TargetMode="External"/><Relationship Id="rId190" Type="http://schemas.openxmlformats.org/officeDocument/2006/relationships/hyperlink" Target="https://drive.google.com/file/d/1L4aAZ65U1ip9YRFRudQnm6w1YlDebPRY/view?usp=sharing" TargetMode="External"/><Relationship Id="rId42" Type="http://schemas.openxmlformats.org/officeDocument/2006/relationships/hyperlink" Target="https://drive.google.com/file/d/1n_PRVHH7VH8MgqtnZcqm_HLcOuU82j1-/view?usp=drive_link" TargetMode="External"/><Relationship Id="rId41" Type="http://schemas.openxmlformats.org/officeDocument/2006/relationships/hyperlink" Target="https://drive.google.com/file/d/1n_PRVHH7VH8MgqtnZcqm_HLcOuU82j1-/view?usp=drive_link" TargetMode="External"/><Relationship Id="rId44" Type="http://schemas.openxmlformats.org/officeDocument/2006/relationships/hyperlink" Target="https://drive.google.com/file/d/1n_PRVHH7VH8MgqtnZcqm_HLcOuU82j1-/view?usp=drive_link" TargetMode="External"/><Relationship Id="rId194" Type="http://schemas.openxmlformats.org/officeDocument/2006/relationships/hyperlink" Target="https://drive.google.com/file/d/1s-f0DiUAL2h97AYmE-6O66nBk6YLG-u7/view?usp=sharing" TargetMode="External"/><Relationship Id="rId43" Type="http://schemas.openxmlformats.org/officeDocument/2006/relationships/hyperlink" Target="https://drive.google.com/file/d/1n_PRVHH7VH8MgqtnZcqm_HLcOuU82j1-/view?usp=drive_link" TargetMode="External"/><Relationship Id="rId193" Type="http://schemas.openxmlformats.org/officeDocument/2006/relationships/hyperlink" Target="https://drive.google.com/file/d/1B3cE3847DfLKHwx5c5vEnlN0H4hKEj2n/view?usp=sharing" TargetMode="External"/><Relationship Id="rId46" Type="http://schemas.openxmlformats.org/officeDocument/2006/relationships/hyperlink" Target="https://drive.google.com/file/d/1RAuzWoQFxyGKAoyp-hACivZHj0WJSEyL/view?usp=drive_link" TargetMode="External"/><Relationship Id="rId192" Type="http://schemas.openxmlformats.org/officeDocument/2006/relationships/hyperlink" Target="https://drive.google.com/file/d/1QobDCfuhT_FwH0f9GhADHre_iRKx7iQU/view?usp=sharing" TargetMode="External"/><Relationship Id="rId45" Type="http://schemas.openxmlformats.org/officeDocument/2006/relationships/hyperlink" Target="https://drive.google.com/file/d/1n_PRVHH7VH8MgqtnZcqm_HLcOuU82j1-/view?usp=drive_link" TargetMode="External"/><Relationship Id="rId191" Type="http://schemas.openxmlformats.org/officeDocument/2006/relationships/hyperlink" Target="https://drive.google.com/file/d/15b0S_mu4gs0VkTp3sXXv3wc5UZvo7uek/view?usp=sharing" TargetMode="External"/><Relationship Id="rId48" Type="http://schemas.openxmlformats.org/officeDocument/2006/relationships/hyperlink" Target="https://drive.google.com/file/d/1yHQmq3bm6spK99CAg2cpkBz2A_9gA1nL/view?usp=drive_link" TargetMode="External"/><Relationship Id="rId187" Type="http://schemas.openxmlformats.org/officeDocument/2006/relationships/hyperlink" Target="https://drive.google.com/file/d/1UVUXdCUBWd8_khBNpKsV1XilqGYw7e1I/view?usp=sharing" TargetMode="External"/><Relationship Id="rId47" Type="http://schemas.openxmlformats.org/officeDocument/2006/relationships/hyperlink" Target="https://drive.google.com/file/d/1yHQmq3bm6spK99CAg2cpkBz2A_9gA1nL/view?usp=drive_link" TargetMode="External"/><Relationship Id="rId186" Type="http://schemas.openxmlformats.org/officeDocument/2006/relationships/hyperlink" Target="https://drive.google.com/file/d/1SenK-jzADYbzns3fC10bmPi2-_0YL0l9/view?usp=drive_link" TargetMode="External"/><Relationship Id="rId185" Type="http://schemas.openxmlformats.org/officeDocument/2006/relationships/hyperlink" Target="https://drive.google.com/file/d/1SenK-jzADYbzns3fC10bmPi2-_0YL0l9/view?usp=drive_link" TargetMode="External"/><Relationship Id="rId49" Type="http://schemas.openxmlformats.org/officeDocument/2006/relationships/hyperlink" Target="https://drive.google.com/file/d/1yHQmq3bm6spK99CAg2cpkBz2A_9gA1nL/view?usp=drive_link" TargetMode="External"/><Relationship Id="rId184" Type="http://schemas.openxmlformats.org/officeDocument/2006/relationships/hyperlink" Target="https://drive.google.com/file/d/1SenK-jzADYbzns3fC10bmPi2-_0YL0l9/view?usp=drive_link" TargetMode="External"/><Relationship Id="rId189" Type="http://schemas.openxmlformats.org/officeDocument/2006/relationships/hyperlink" Target="https://drive.google.com/file/d/1kO4twxSkxstb2zke5-AknYMKC0WTcxHX/view?usp=sharing" TargetMode="External"/><Relationship Id="rId188" Type="http://schemas.openxmlformats.org/officeDocument/2006/relationships/hyperlink" Target="https://drive.google.com/file/d/1x-E_Joer6wv1xvd86o5Y0MtubzQPtyic/view?usp=drive_link" TargetMode="External"/><Relationship Id="rId31" Type="http://schemas.openxmlformats.org/officeDocument/2006/relationships/hyperlink" Target="https://drive.google.com/file/d/1_AjoXBjmeMByyuaF_yT060wN1MECA3MN/view?usp=drive_link" TargetMode="External"/><Relationship Id="rId30" Type="http://schemas.openxmlformats.org/officeDocument/2006/relationships/hyperlink" Target="https://drive.google.com/file/d/1OTlXH0VHgeTlaY0Ij_gQ0rPdGN5PXs33/view?usp=drive_link" TargetMode="External"/><Relationship Id="rId33" Type="http://schemas.openxmlformats.org/officeDocument/2006/relationships/hyperlink" Target="https://drive.google.com/file/d/1L0RiGd06hFoGKahWfisktdNne3FADhgs/view?usp=drive_link" TargetMode="External"/><Relationship Id="rId183" Type="http://schemas.openxmlformats.org/officeDocument/2006/relationships/hyperlink" Target="https://drive.google.com/file/d/1SenK-jzADYbzns3fC10bmPi2-_0YL0l9/view?usp=drive_link" TargetMode="External"/><Relationship Id="rId32" Type="http://schemas.openxmlformats.org/officeDocument/2006/relationships/hyperlink" Target="https://drive.google.com/file/d/1v2rCXkATake5lw5mWsq0CrJpPFT9_Mwc/view?usp=drive_link" TargetMode="External"/><Relationship Id="rId182" Type="http://schemas.openxmlformats.org/officeDocument/2006/relationships/hyperlink" Target="https://drive.google.com/file/d/1D6YonNwNAcJJ6gHC3GXoOmROY_-1_RWh/view?usp=sharing" TargetMode="External"/><Relationship Id="rId35" Type="http://schemas.openxmlformats.org/officeDocument/2006/relationships/hyperlink" Target="https://drive.google.com/file/d/1yHQmq3bm6spK99CAg2cpkBz2A_9gA1nL/view?usp=drive_link" TargetMode="External"/><Relationship Id="rId181" Type="http://schemas.openxmlformats.org/officeDocument/2006/relationships/hyperlink" Target="https://drive.google.com/file/d/1D6YonNwNAcJJ6gHC3GXoOmROY_-1_RWh/view?usp=sharing" TargetMode="External"/><Relationship Id="rId34" Type="http://schemas.openxmlformats.org/officeDocument/2006/relationships/hyperlink" Target="https://drive.google.com/file/d/1yHQmq3bm6spK99CAg2cpkBz2A_9gA1nL/view?usp=drive_link" TargetMode="External"/><Relationship Id="rId180" Type="http://schemas.openxmlformats.org/officeDocument/2006/relationships/hyperlink" Target="https://drive.google.com/file/d/1D6YonNwNAcJJ6gHC3GXoOmROY_-1_RWh/view?usp=sharing" TargetMode="External"/><Relationship Id="rId37" Type="http://schemas.openxmlformats.org/officeDocument/2006/relationships/hyperlink" Target="https://drive.google.com/file/d/13jWEFzjeGx_ObFiwU81-heegpsIFotmi/view?usp=drive_link" TargetMode="External"/><Relationship Id="rId176" Type="http://schemas.openxmlformats.org/officeDocument/2006/relationships/hyperlink" Target="https://drive.google.com/file/d/1K9En2MYJBdvrDqHxBwEBIWdFMLYegk-B/view?usp=drive_link" TargetMode="External"/><Relationship Id="rId36" Type="http://schemas.openxmlformats.org/officeDocument/2006/relationships/hyperlink" Target="https://drive.google.com/file/d/1yHQmq3bm6spK99CAg2cpkBz2A_9gA1nL/view?usp=drive_link" TargetMode="External"/><Relationship Id="rId175" Type="http://schemas.openxmlformats.org/officeDocument/2006/relationships/hyperlink" Target="https://drive.google.com/file/d/1eRmlwV2MqjK-53jHtL7-2m17CecarWag/view?usp=drive_link" TargetMode="External"/><Relationship Id="rId39" Type="http://schemas.openxmlformats.org/officeDocument/2006/relationships/hyperlink" Target="https://drive.google.com/file/d/1yHQmq3bm6spK99CAg2cpkBz2A_9gA1nL/view?usp=drive_link" TargetMode="External"/><Relationship Id="rId174" Type="http://schemas.openxmlformats.org/officeDocument/2006/relationships/hyperlink" Target="https://drive.google.com/file/d/1UVDumORnRudCShUHfkcVTwJ2jqQohw6W/view?usp=drive_link" TargetMode="External"/><Relationship Id="rId38" Type="http://schemas.openxmlformats.org/officeDocument/2006/relationships/hyperlink" Target="https://drive.google.com/file/d/1n_PRVHH7VH8MgqtnZcqm_HLcOuU82j1-/view?usp=drive_link" TargetMode="External"/><Relationship Id="rId173" Type="http://schemas.openxmlformats.org/officeDocument/2006/relationships/hyperlink" Target="https://drive.google.com/file/d/1cLfzj-9zb6FoTOUJcUOgUA7Mveug8evW/view?usp=drive_link" TargetMode="External"/><Relationship Id="rId179" Type="http://schemas.openxmlformats.org/officeDocument/2006/relationships/hyperlink" Target="https://drive.google.com/file/d/1D6YonNwNAcJJ6gHC3GXoOmROY_-1_RWh/view?usp=sharing" TargetMode="External"/><Relationship Id="rId178" Type="http://schemas.openxmlformats.org/officeDocument/2006/relationships/hyperlink" Target="https://drive.google.com/file/d/1tVSmJmDfBUtZBif_aJKPDJzPx1Q9g5Bv/view?usp=drive_link" TargetMode="External"/><Relationship Id="rId177" Type="http://schemas.openxmlformats.org/officeDocument/2006/relationships/hyperlink" Target="https://drive.google.com/file/d/1K-4FWuVzHNArNNldwRdLXUDpy-V55FeA/view?usp=drive_link" TargetMode="External"/><Relationship Id="rId20" Type="http://schemas.openxmlformats.org/officeDocument/2006/relationships/hyperlink" Target="https://drive.google.com/file/d/1p-ZPZad7dtUHTLI4cp_JLMSgTcnlmE5W/view?usp=drive_link" TargetMode="External"/><Relationship Id="rId22" Type="http://schemas.openxmlformats.org/officeDocument/2006/relationships/hyperlink" Target="https://drive.google.com/file/d/1dt-dLwe79p04JHdV8rU441Kj1Duw3LgK/view?usp=drive_link" TargetMode="External"/><Relationship Id="rId21" Type="http://schemas.openxmlformats.org/officeDocument/2006/relationships/hyperlink" Target="https://drive.google.com/file/d/1LaNAAtnbTJ6pVyu1OWM5bK2sXJ-ApUfs/view?usp=drive_link" TargetMode="External"/><Relationship Id="rId24" Type="http://schemas.openxmlformats.org/officeDocument/2006/relationships/hyperlink" Target="https://drive.google.com/file/d/1QKHMK-JnmLvnXwjOJtR2ESwt9sB7T23_/view?usp=sharing" TargetMode="External"/><Relationship Id="rId23" Type="http://schemas.openxmlformats.org/officeDocument/2006/relationships/hyperlink" Target="https://drive.google.com/file/d/1pvT33Oxp8HFD_A0OitHMDJ_5ldieFd9N/view?usp=drive_link" TargetMode="External"/><Relationship Id="rId26" Type="http://schemas.openxmlformats.org/officeDocument/2006/relationships/hyperlink" Target="https://drive.google.com/file/d/1tnf-BixMQMmgm_v4nATDegntHOFueozg/view?usp=drive_link" TargetMode="External"/><Relationship Id="rId25" Type="http://schemas.openxmlformats.org/officeDocument/2006/relationships/hyperlink" Target="https://drive.google.com/file/d/1JxyCC0GBrw-SYnXARu8C_IB2ZVQCOx3Y/view?usp=drive_link" TargetMode="External"/><Relationship Id="rId28" Type="http://schemas.openxmlformats.org/officeDocument/2006/relationships/hyperlink" Target="https://drive.google.com/file/d/1KxOcFB1Qzio8OG_wFNWGFATCjblbEIvq/view?usp=drive_link" TargetMode="External"/><Relationship Id="rId27" Type="http://schemas.openxmlformats.org/officeDocument/2006/relationships/hyperlink" Target="https://drive.google.com/file/d/1aDcae8n_r0wq8kss2YQkHAEHlVY08Ce8/view?usp=sharing" TargetMode="External"/><Relationship Id="rId29" Type="http://schemas.openxmlformats.org/officeDocument/2006/relationships/hyperlink" Target="https://drive.google.com/file/d/1i0G7iSgro-9yNnuORyyBknw8qXZ1Ypa7/view?usp=drive_link" TargetMode="External"/><Relationship Id="rId11" Type="http://schemas.openxmlformats.org/officeDocument/2006/relationships/hyperlink" Target="https://drive.google.com/file/d/1gezcymFaPc30tnePI4up1PtCHIYpIiaL/view?usp=drive_link" TargetMode="External"/><Relationship Id="rId10" Type="http://schemas.openxmlformats.org/officeDocument/2006/relationships/hyperlink" Target="https://drive.google.com/file/d/1SNrfKLIRMS16H5SsOxTNJXroGXj9vA4V/view?usp=drive_link" TargetMode="External"/><Relationship Id="rId13" Type="http://schemas.openxmlformats.org/officeDocument/2006/relationships/hyperlink" Target="https://drive.google.com/file/d/1OEQkgiRkfcF7GsCoNgCKEdp-ZaVNHqAw/view?usp=drive_link" TargetMode="External"/><Relationship Id="rId12" Type="http://schemas.openxmlformats.org/officeDocument/2006/relationships/hyperlink" Target="https://drive.google.com/file/d/12QMr_PrgmPZ1gtrLvSWxMA6uDiNRPZA2/view?usp=drive_link" TargetMode="External"/><Relationship Id="rId15" Type="http://schemas.openxmlformats.org/officeDocument/2006/relationships/hyperlink" Target="https://drive.google.com/file/d/1ouHWbvcPFLoe5eS059rvY6bEAXjfkwEz/view?usp=drive_link" TargetMode="External"/><Relationship Id="rId198" Type="http://schemas.openxmlformats.org/officeDocument/2006/relationships/hyperlink" Target="https://drive.google.com/file/d/1X_XWIPBIvMUVQFeUA4BHeJLDXrkkx--j/view?usp=sharing" TargetMode="External"/><Relationship Id="rId14" Type="http://schemas.openxmlformats.org/officeDocument/2006/relationships/hyperlink" Target="https://drive.google.com/file/d/1Nyg6A5Jj_jp9KYb7BHLzO9FrKRYBHjeB/view?usp=drive_link" TargetMode="External"/><Relationship Id="rId197" Type="http://schemas.openxmlformats.org/officeDocument/2006/relationships/hyperlink" Target="https://drive.google.com/file/d/12El60BGJRDkoPfshD-eWdTLC40r0oohX/view?usp=sharing" TargetMode="External"/><Relationship Id="rId17" Type="http://schemas.openxmlformats.org/officeDocument/2006/relationships/hyperlink" Target="https://drive.google.com/file/d/1mozVvcg1TJpysy7zrhQgspML4Sq9UryA/view?usp=drive_link" TargetMode="External"/><Relationship Id="rId196" Type="http://schemas.openxmlformats.org/officeDocument/2006/relationships/hyperlink" Target="https://drive.google.com/file/d/10S4imq2UTXclECY5vc29SknEX-Bliytn/view?usp=sharing" TargetMode="External"/><Relationship Id="rId16" Type="http://schemas.openxmlformats.org/officeDocument/2006/relationships/hyperlink" Target="https://drive.google.com/file/d/1uZejbSwcm7_SOndqPN4WO12kKrzqWEGp/view?usp=sharing" TargetMode="External"/><Relationship Id="rId195" Type="http://schemas.openxmlformats.org/officeDocument/2006/relationships/hyperlink" Target="https://drive.google.com/file/d/1pVOZcCJ8erIzUfOmf6_nCvggrreJovJl/view?usp=sharing" TargetMode="External"/><Relationship Id="rId19" Type="http://schemas.openxmlformats.org/officeDocument/2006/relationships/hyperlink" Target="https://drive.google.com/file/d/1mORCfQn2J1JZwcAroqfsdOpg_HJohnf5/view?usp=drive_link" TargetMode="External"/><Relationship Id="rId18" Type="http://schemas.openxmlformats.org/officeDocument/2006/relationships/hyperlink" Target="https://drive.google.com/file/d/10VKsNdrCOoT5oPQA3bWLr9oa8V68LOy_/view?usp=drive_link" TargetMode="External"/><Relationship Id="rId199" Type="http://schemas.openxmlformats.org/officeDocument/2006/relationships/hyperlink" Target="https://drive.google.com/file/d/1X_XWIPBIvMUVQFeUA4BHeJLDXrkkx--j/view?usp=sharing" TargetMode="External"/><Relationship Id="rId84" Type="http://schemas.openxmlformats.org/officeDocument/2006/relationships/hyperlink" Target="https://drive.google.com/file/d/1EenQbaZBu4aMcLHfaGlloUERhpzAGEC7/view?usp=drive_link" TargetMode="External"/><Relationship Id="rId83" Type="http://schemas.openxmlformats.org/officeDocument/2006/relationships/hyperlink" Target="https://drive.google.com/file/d/1eEXxSLvkTS5Su4KOLtVns7AC4hx0oDUo/view?usp=drive_link" TargetMode="External"/><Relationship Id="rId86" Type="http://schemas.openxmlformats.org/officeDocument/2006/relationships/hyperlink" Target="https://drive.google.com/file/d/1QBkmZahzV1i9tv58qHbTp9MQoV4_FgOJ/view?usp=drive_link" TargetMode="External"/><Relationship Id="rId85" Type="http://schemas.openxmlformats.org/officeDocument/2006/relationships/hyperlink" Target="https://drive.google.com/file/d/1dspDyPmoWtvPlNkzoW2iToRcFnE1brvS/view?usp=drive_link" TargetMode="External"/><Relationship Id="rId88" Type="http://schemas.openxmlformats.org/officeDocument/2006/relationships/hyperlink" Target="https://drive.google.com/file/d/1yHQmq3bm6spK99CAg2cpkBz2A_9gA1nL/view?usp=drive_link" TargetMode="External"/><Relationship Id="rId150" Type="http://schemas.openxmlformats.org/officeDocument/2006/relationships/hyperlink" Target="https://drive.google.com/file/d/1tWPdamxpFMuc9RaglBBLNjvOXpXZv4fI/view?usp=drive_link" TargetMode="External"/><Relationship Id="rId271" Type="http://schemas.openxmlformats.org/officeDocument/2006/relationships/hyperlink" Target="https://drive.google.com/file/d/121QvoWbR_WU9inGXmPukVu_ZVPvvyO0K/view?usp=drive_link" TargetMode="External"/><Relationship Id="rId87" Type="http://schemas.openxmlformats.org/officeDocument/2006/relationships/hyperlink" Target="https://drive.google.com/file/d/1RcibNGSJqdlHEQoC-ibqAya2k_Sn_Miq/view?usp=drive_link" TargetMode="External"/><Relationship Id="rId270" Type="http://schemas.openxmlformats.org/officeDocument/2006/relationships/hyperlink" Target="https://drive.google.com/file/d/121QvoWbR_WU9inGXmPukVu_ZVPvvyO0K/view?usp=drive_link" TargetMode="External"/><Relationship Id="rId89" Type="http://schemas.openxmlformats.org/officeDocument/2006/relationships/hyperlink" Target="https://drive.google.com/file/d/1uS0agdqfGN8tH8MdahJLRuuLBhvcyMmV/view?usp=drive_link" TargetMode="External"/><Relationship Id="rId80" Type="http://schemas.openxmlformats.org/officeDocument/2006/relationships/hyperlink" Target="https://drive.google.com/file/d/1-kjEMngaKyaBlTN3VdKwsFzaeqbhJGnz/view?usp=drive_link" TargetMode="External"/><Relationship Id="rId82" Type="http://schemas.openxmlformats.org/officeDocument/2006/relationships/hyperlink" Target="https://drive.google.com/file/d/1JDLVYmNjAfRdpCmvscRwHLUFVluTJ46x/view?usp=drive_link" TargetMode="External"/><Relationship Id="rId81" Type="http://schemas.openxmlformats.org/officeDocument/2006/relationships/hyperlink" Target="https://drive.google.com/file/d/1eEXxSLvkTS5Su4KOLtVns7AC4hx0oDUo/view?usp=drive_link" TargetMode="External"/><Relationship Id="rId1" Type="http://schemas.openxmlformats.org/officeDocument/2006/relationships/hyperlink" Target="http://www.g2e.com.ar/" TargetMode="External"/><Relationship Id="rId2" Type="http://schemas.openxmlformats.org/officeDocument/2006/relationships/hyperlink" Target="https://drive.google.com/drive/folders/1ZBdiQpA0fThceUwY98gkW43AmhfRbQms?usp=sharing" TargetMode="External"/><Relationship Id="rId3" Type="http://schemas.openxmlformats.org/officeDocument/2006/relationships/hyperlink" Target="https://drive.google.com/file/d/1LP2jOBVOE3TMr0EB0BVeZqYVzSIwJ_zA/view?usp=drive_link" TargetMode="External"/><Relationship Id="rId149" Type="http://schemas.openxmlformats.org/officeDocument/2006/relationships/hyperlink" Target="https://drive.google.com/file/d/11ABWMeRpatQhLYA1xZxud9EiVyTofhyL/view?usp=drive_link" TargetMode="External"/><Relationship Id="rId4" Type="http://schemas.openxmlformats.org/officeDocument/2006/relationships/hyperlink" Target="https://drive.google.com/file/d/1wRzLyMFIgZjda7jTVL6SyrF4dOQ5cezR/view?usp=drive_link" TargetMode="External"/><Relationship Id="rId148" Type="http://schemas.openxmlformats.org/officeDocument/2006/relationships/hyperlink" Target="https://drive.google.com/file/d/1l46OC42yhpEkIYkhJxPj3aWoFZsH0kgb/view?usp=drive_link" TargetMode="External"/><Relationship Id="rId269" Type="http://schemas.openxmlformats.org/officeDocument/2006/relationships/hyperlink" Target="https://drive.google.com/file/d/121QvoWbR_WU9inGXmPukVu_ZVPvvyO0K/view?usp=drive_link" TargetMode="External"/><Relationship Id="rId9" Type="http://schemas.openxmlformats.org/officeDocument/2006/relationships/hyperlink" Target="https://drive.google.com/file/d/1DrUGov6ERQ-N_Lu-cFDj6RPUNmijVRrV/view?usp=drive_link" TargetMode="External"/><Relationship Id="rId143" Type="http://schemas.openxmlformats.org/officeDocument/2006/relationships/hyperlink" Target="https://drive.google.com/file/d/1ccWo7xQY8Uc1t2tzOzo0LulBmaCvnqEf/view?usp=drive_link" TargetMode="External"/><Relationship Id="rId264" Type="http://schemas.openxmlformats.org/officeDocument/2006/relationships/hyperlink" Target="https://drive.google.com/file/d/121QvoWbR_WU9inGXmPukVu_ZVPvvyO0K/view?usp=drive_link" TargetMode="External"/><Relationship Id="rId142" Type="http://schemas.openxmlformats.org/officeDocument/2006/relationships/hyperlink" Target="https://drive.google.com/file/d/16iCZVPLVPrLnq4i-BsVa69-lqh4GVFnP/view?usp=drive_link" TargetMode="External"/><Relationship Id="rId263" Type="http://schemas.openxmlformats.org/officeDocument/2006/relationships/hyperlink" Target="https://drive.google.com/file/d/121QvoWbR_WU9inGXmPukVu_ZVPvvyO0K/view?usp=drive_link" TargetMode="External"/><Relationship Id="rId141" Type="http://schemas.openxmlformats.org/officeDocument/2006/relationships/hyperlink" Target="https://drive.google.com/file/d/1gnYWAV0oEXK5e7-u-58s03k-NUty4nH-/view?usp=drive_link" TargetMode="External"/><Relationship Id="rId262" Type="http://schemas.openxmlformats.org/officeDocument/2006/relationships/hyperlink" Target="https://drive.google.com/file/d/121QvoWbR_WU9inGXmPukVu_ZVPvvyO0K/view?usp=drive_link" TargetMode="External"/><Relationship Id="rId140" Type="http://schemas.openxmlformats.org/officeDocument/2006/relationships/hyperlink" Target="https://drive.google.com/file/d/16J0-DBmIYJLBlMdH69kzQ95nn5y0wUUJ/view?usp=drive_link" TargetMode="External"/><Relationship Id="rId261" Type="http://schemas.openxmlformats.org/officeDocument/2006/relationships/hyperlink" Target="https://drive.google.com/file/d/121QvoWbR_WU9inGXmPukVu_ZVPvvyO0K/view?usp=drive_link" TargetMode="External"/><Relationship Id="rId5" Type="http://schemas.openxmlformats.org/officeDocument/2006/relationships/hyperlink" Target="https://drive.google.com/file/d/16rfu7FgrzWEXmL8PZE_Hg7Q2_bPMCnUF/view?usp=drive_link" TargetMode="External"/><Relationship Id="rId147" Type="http://schemas.openxmlformats.org/officeDocument/2006/relationships/hyperlink" Target="https://drive.google.com/file/d/1BAJXPIPlc_LUE7whSBrFB_Rlg3XKMGrB/view?usp=drive_link" TargetMode="External"/><Relationship Id="rId268" Type="http://schemas.openxmlformats.org/officeDocument/2006/relationships/hyperlink" Target="https://drive.google.com/file/d/121QvoWbR_WU9inGXmPukVu_ZVPvvyO0K/view?usp=drive_link" TargetMode="External"/><Relationship Id="rId6" Type="http://schemas.openxmlformats.org/officeDocument/2006/relationships/hyperlink" Target="https://drive.google.com/file/d/12DtT1WW4pQN8bGyiOT0g0HqRamFcGIKf/view?usp=sharing" TargetMode="External"/><Relationship Id="rId146" Type="http://schemas.openxmlformats.org/officeDocument/2006/relationships/hyperlink" Target="https://drive.google.com/file/d/1l46OC42yhpEkIYkhJxPj3aWoFZsH0kgb/view?usp=drive_link" TargetMode="External"/><Relationship Id="rId267" Type="http://schemas.openxmlformats.org/officeDocument/2006/relationships/hyperlink" Target="https://drive.google.com/file/d/121QvoWbR_WU9inGXmPukVu_ZVPvvyO0K/view?usp=drive_link" TargetMode="External"/><Relationship Id="rId7" Type="http://schemas.openxmlformats.org/officeDocument/2006/relationships/hyperlink" Target="https://drive.google.com/file/d/1DRDRvR98ccDblsGi6TPFRk0wGMJR9Quz/view?usp=drive_link" TargetMode="External"/><Relationship Id="rId145" Type="http://schemas.openxmlformats.org/officeDocument/2006/relationships/hyperlink" Target="https://drive.google.com/file/d/1kr1vxa1I0yW_RM8ErjNlJpSj0TbbPk3p/view?usp=sharing" TargetMode="External"/><Relationship Id="rId266" Type="http://schemas.openxmlformats.org/officeDocument/2006/relationships/hyperlink" Target="https://drive.google.com/file/d/121QvoWbR_WU9inGXmPukVu_ZVPvvyO0K/view?usp=drive_link" TargetMode="External"/><Relationship Id="rId8" Type="http://schemas.openxmlformats.org/officeDocument/2006/relationships/hyperlink" Target="https://drive.google.com/file/d/1ngXoa2qpin3SnpMuXsVgNJq5Vx7cYJ56/view?usp=drive_link" TargetMode="External"/><Relationship Id="rId144" Type="http://schemas.openxmlformats.org/officeDocument/2006/relationships/hyperlink" Target="https://drive.google.com/file/d/1ccWo7xQY8Uc1t2tzOzo0LulBmaCvnqEf/view?usp=drive_link" TargetMode="External"/><Relationship Id="rId265" Type="http://schemas.openxmlformats.org/officeDocument/2006/relationships/hyperlink" Target="https://drive.google.com/file/d/121QvoWbR_WU9inGXmPukVu_ZVPvvyO0K/view?usp=drive_link" TargetMode="External"/><Relationship Id="rId73" Type="http://schemas.openxmlformats.org/officeDocument/2006/relationships/hyperlink" Target="https://drive.google.com/file/d/1hoo93FAXW6PPORDDtNpfbIdeC8gzUkCX/view?usp=drive_link" TargetMode="External"/><Relationship Id="rId72" Type="http://schemas.openxmlformats.org/officeDocument/2006/relationships/hyperlink" Target="https://drive.google.com/file/d/1QEQSyh8ip5LmEe3xRD8cBgembDm4L3OG/view?usp=drive_link" TargetMode="External"/><Relationship Id="rId75" Type="http://schemas.openxmlformats.org/officeDocument/2006/relationships/hyperlink" Target="https://drive.google.com/file/d/1xXQq88WkJ-uzWamz_SJIU9y0scRwT5zL/view?usp=drive_link" TargetMode="External"/><Relationship Id="rId74" Type="http://schemas.openxmlformats.org/officeDocument/2006/relationships/hyperlink" Target="https://drive.google.com/file/d/1TGHfb5dL4hXmrmFofyBSOeKNTAzQpCGM/view?usp=drive_link" TargetMode="External"/><Relationship Id="rId77" Type="http://schemas.openxmlformats.org/officeDocument/2006/relationships/hyperlink" Target="https://drive.google.com/file/d/1xXQq88WkJ-uzWamz_SJIU9y0scRwT5zL/view?usp=drive_link" TargetMode="External"/><Relationship Id="rId260" Type="http://schemas.openxmlformats.org/officeDocument/2006/relationships/hyperlink" Target="https://drive.google.com/file/d/121QvoWbR_WU9inGXmPukVu_ZVPvvyO0K/view?usp=drive_link" TargetMode="External"/><Relationship Id="rId76" Type="http://schemas.openxmlformats.org/officeDocument/2006/relationships/hyperlink" Target="https://drive.google.com/file/d/1jpFqyEREFWopHm53dsmVpUu4ZNffTdMS/view?usp=sharing" TargetMode="External"/><Relationship Id="rId79" Type="http://schemas.openxmlformats.org/officeDocument/2006/relationships/hyperlink" Target="https://drive.google.com/file/d/1-kjEMngaKyaBlTN3VdKwsFzaeqbhJGnz/view?usp=drive_link" TargetMode="External"/><Relationship Id="rId78" Type="http://schemas.openxmlformats.org/officeDocument/2006/relationships/hyperlink" Target="https://drive.google.com/file/d/1jpFqyEREFWopHm53dsmVpUu4ZNffTdMS/view?usp=sharing" TargetMode="External"/><Relationship Id="rId71" Type="http://schemas.openxmlformats.org/officeDocument/2006/relationships/hyperlink" Target="https://drive.google.com/file/d/1QEQSyh8ip5LmEe3xRD8cBgembDm4L3OG/view?usp=drive_link" TargetMode="External"/><Relationship Id="rId70" Type="http://schemas.openxmlformats.org/officeDocument/2006/relationships/hyperlink" Target="https://drive.google.com/file/d/1RwsQGEnM8MgrDO6ulfh4MBV5osaXoj-A/view?usp=drive_link" TargetMode="External"/><Relationship Id="rId139" Type="http://schemas.openxmlformats.org/officeDocument/2006/relationships/hyperlink" Target="https://drive.google.com/file/d/1WYZ6Ic7PTj29HVU0oPCgOkZ5DILc91zW/view?usp=drive_link" TargetMode="External"/><Relationship Id="rId138" Type="http://schemas.openxmlformats.org/officeDocument/2006/relationships/hyperlink" Target="https://drive.google.com/file/d/1mlmc6L_8SzRpcgwh3eT6w_J3uF3rTS8j/view?usp=drive_link" TargetMode="External"/><Relationship Id="rId259" Type="http://schemas.openxmlformats.org/officeDocument/2006/relationships/hyperlink" Target="https://drive.google.com/file/d/121QvoWbR_WU9inGXmPukVu_ZVPvvyO0K/view?usp=drive_link" TargetMode="External"/><Relationship Id="rId137" Type="http://schemas.openxmlformats.org/officeDocument/2006/relationships/hyperlink" Target="https://drive.google.com/file/d/1hICbYQciQ_YJGvTJNqPcm_KI2I55Fbsd/view?usp=sharing" TargetMode="External"/><Relationship Id="rId258" Type="http://schemas.openxmlformats.org/officeDocument/2006/relationships/hyperlink" Target="https://drive.google.com/file/d/121QvoWbR_WU9inGXmPukVu_ZVPvvyO0K/view?usp=drive_link" TargetMode="External"/><Relationship Id="rId132" Type="http://schemas.openxmlformats.org/officeDocument/2006/relationships/hyperlink" Target="https://drive.google.com/file/d/1nmQwaLAeGhYj3VZaKpHu6-AoVoTBEyjT/view?usp=drive_link" TargetMode="External"/><Relationship Id="rId253" Type="http://schemas.openxmlformats.org/officeDocument/2006/relationships/hyperlink" Target="https://drive.google.com/file/d/121QvoWbR_WU9inGXmPukVu_ZVPvvyO0K/view?usp=drive_link" TargetMode="External"/><Relationship Id="rId131" Type="http://schemas.openxmlformats.org/officeDocument/2006/relationships/hyperlink" Target="https://drive.google.com/file/d/1nmQwaLAeGhYj3VZaKpHu6-AoVoTBEyjT/view?usp=drive_link" TargetMode="External"/><Relationship Id="rId252" Type="http://schemas.openxmlformats.org/officeDocument/2006/relationships/hyperlink" Target="https://drive.google.com/file/d/121QvoWbR_WU9inGXmPukVu_ZVPvvyO0K/view?usp=drive_link" TargetMode="External"/><Relationship Id="rId130" Type="http://schemas.openxmlformats.org/officeDocument/2006/relationships/hyperlink" Target="https://drive.google.com/file/d/16kjn-_YThARZGem6ZqqR0S_5fDLk2-7a/view?usp=drive_link" TargetMode="External"/><Relationship Id="rId251" Type="http://schemas.openxmlformats.org/officeDocument/2006/relationships/hyperlink" Target="https://drive.google.com/file/d/121QvoWbR_WU9inGXmPukVu_ZVPvvyO0K/view?usp=drive_link" TargetMode="External"/><Relationship Id="rId250" Type="http://schemas.openxmlformats.org/officeDocument/2006/relationships/hyperlink" Target="https://drive.google.com/file/d/121QvoWbR_WU9inGXmPukVu_ZVPvvyO0K/view?usp=drive_link" TargetMode="External"/><Relationship Id="rId136" Type="http://schemas.openxmlformats.org/officeDocument/2006/relationships/hyperlink" Target="https://drive.google.com/file/d/1g9ZqwUFdcLvD0fgOJnuRBKRy3CW83kO6/view?usp=drive_link" TargetMode="External"/><Relationship Id="rId257" Type="http://schemas.openxmlformats.org/officeDocument/2006/relationships/hyperlink" Target="https://drive.google.com/file/d/121QvoWbR_WU9inGXmPukVu_ZVPvvyO0K/view?usp=drive_link" TargetMode="External"/><Relationship Id="rId135" Type="http://schemas.openxmlformats.org/officeDocument/2006/relationships/hyperlink" Target="https://drive.google.com/file/d/1xQf1Ldgo_kZ8jlkmQLX-g_a208Hh7kbd/view?usp=sharing" TargetMode="External"/><Relationship Id="rId256" Type="http://schemas.openxmlformats.org/officeDocument/2006/relationships/hyperlink" Target="https://drive.google.com/file/d/121QvoWbR_WU9inGXmPukVu_ZVPvvyO0K/view?usp=drive_link" TargetMode="External"/><Relationship Id="rId134" Type="http://schemas.openxmlformats.org/officeDocument/2006/relationships/hyperlink" Target="https://drive.google.com/file/d/1nmQwaLAeGhYj3VZaKpHu6-AoVoTBEyjT/view?usp=drive_link" TargetMode="External"/><Relationship Id="rId255" Type="http://schemas.openxmlformats.org/officeDocument/2006/relationships/hyperlink" Target="https://drive.google.com/file/d/121QvoWbR_WU9inGXmPukVu_ZVPvvyO0K/view?usp=drive_link" TargetMode="External"/><Relationship Id="rId133" Type="http://schemas.openxmlformats.org/officeDocument/2006/relationships/hyperlink" Target="https://drive.google.com/file/d/1nmQwaLAeGhYj3VZaKpHu6-AoVoTBEyjT/view?usp=drive_link" TargetMode="External"/><Relationship Id="rId254" Type="http://schemas.openxmlformats.org/officeDocument/2006/relationships/hyperlink" Target="https://drive.google.com/file/d/121QvoWbR_WU9inGXmPukVu_ZVPvvyO0K/view?usp=drive_link" TargetMode="External"/><Relationship Id="rId62" Type="http://schemas.openxmlformats.org/officeDocument/2006/relationships/hyperlink" Target="https://drive.google.com/file/d/1JL_yGQe48okOYa4I47aa11Z5AbjePxF2/view?usp=drive_link" TargetMode="External"/><Relationship Id="rId61" Type="http://schemas.openxmlformats.org/officeDocument/2006/relationships/hyperlink" Target="https://drive.google.com/file/d/1i373I1D6gdYaU1Imjxpx9Mk4MkXVfjDn/view?usp=drive_link" TargetMode="External"/><Relationship Id="rId64" Type="http://schemas.openxmlformats.org/officeDocument/2006/relationships/hyperlink" Target="https://drive.google.com/file/d/1rF-vo4PlDmNXH2Scgc6ZFMJVDBzK3XR4/view?usp=drive_link" TargetMode="External"/><Relationship Id="rId63" Type="http://schemas.openxmlformats.org/officeDocument/2006/relationships/hyperlink" Target="https://drive.google.com/file/d/1Je7GXOGVHmk1ZhUXvSKVI478-QamLuyz/view?usp=drive_link" TargetMode="External"/><Relationship Id="rId66" Type="http://schemas.openxmlformats.org/officeDocument/2006/relationships/hyperlink" Target="https://drive.google.com/file/d/19BleEx-4qJoyB-PlKtEXNAS3PqKNofN1/view?usp=drive_link" TargetMode="External"/><Relationship Id="rId172" Type="http://schemas.openxmlformats.org/officeDocument/2006/relationships/hyperlink" Target="https://drive.google.com/file/d/1pxNH-ScSTk7Mzesq4njnkwx5kHtsF50S/view?usp=drive_link" TargetMode="External"/><Relationship Id="rId65" Type="http://schemas.openxmlformats.org/officeDocument/2006/relationships/hyperlink" Target="https://drive.google.com/file/d/1gRkWgOSNRddXfwfTOVDxo7-Fy4AjphN5/view?usp=drive_link" TargetMode="External"/><Relationship Id="rId171" Type="http://schemas.openxmlformats.org/officeDocument/2006/relationships/hyperlink" Target="https://drive.google.com/file/d/1bGAWNmmLdm7X0R4S2NCZHUSFFvrqyjh3/view?usp=drive_link" TargetMode="External"/><Relationship Id="rId68" Type="http://schemas.openxmlformats.org/officeDocument/2006/relationships/hyperlink" Target="https://drive.google.com/file/d/190HAu4E7u2uCt23EmIQBC4UYBG8drIZU/view?usp=drive_link" TargetMode="External"/><Relationship Id="rId170" Type="http://schemas.openxmlformats.org/officeDocument/2006/relationships/hyperlink" Target="https://drive.google.com/file/d/1HMAwdIS6mxaQnGqQXpQ6xuikCRINbVwj/view?usp=drive_link" TargetMode="External"/><Relationship Id="rId67" Type="http://schemas.openxmlformats.org/officeDocument/2006/relationships/hyperlink" Target="https://drive.google.com/file/d/1X_gZhvBvQWu1bmcHn0W0kQlEs9YE8hmU/view?usp=sharing" TargetMode="External"/><Relationship Id="rId60" Type="http://schemas.openxmlformats.org/officeDocument/2006/relationships/hyperlink" Target="https://drive.google.com/file/d/1eUR-uyH4rZJG-7WWWH18Mw_Ln5zGw2NX/view?usp=sharing" TargetMode="External"/><Relationship Id="rId165" Type="http://schemas.openxmlformats.org/officeDocument/2006/relationships/hyperlink" Target="https://drive.google.com/file/d/1RNnKGjp6R4k6vDCVip7hTrxiFuyb5-BE/view?usp=drive_link" TargetMode="External"/><Relationship Id="rId286" Type="http://schemas.openxmlformats.org/officeDocument/2006/relationships/hyperlink" Target="https://drive.google.com/file/d/18MGZN9445JBGQYw_vo3JNyKhaIxQBjys/view?usp=drive_link" TargetMode="External"/><Relationship Id="rId69" Type="http://schemas.openxmlformats.org/officeDocument/2006/relationships/hyperlink" Target="https://drive.google.com/file/d/1QabJg4JSkOuxVDMKseEsP-gJ_lm6XVBb/view?usp=drive_link" TargetMode="External"/><Relationship Id="rId164" Type="http://schemas.openxmlformats.org/officeDocument/2006/relationships/hyperlink" Target="https://drive.google.com/file/d/1WAGtfF4QapDWwLBHfpy1bwgld9gG4hdQ/view?usp=drive_link" TargetMode="External"/><Relationship Id="rId285" Type="http://schemas.openxmlformats.org/officeDocument/2006/relationships/hyperlink" Target="https://drive.google.com/file/d/1UwK0Hlkm34SWDq4YkKy7q4M1ZnBPk3wn/view?usp=drive_link" TargetMode="External"/><Relationship Id="rId163" Type="http://schemas.openxmlformats.org/officeDocument/2006/relationships/hyperlink" Target="https://drive.google.com/file/d/10Ib4_ijBObOW5wfwpTsxXL9gx-FXLa1R/view?usp=drive_link" TargetMode="External"/><Relationship Id="rId284" Type="http://schemas.openxmlformats.org/officeDocument/2006/relationships/hyperlink" Target="https://drive.google.com/file/d/1Gs5xNOkdcaHgFI-Uc88EWqFhlAk78EsU/view?usp=sharing" TargetMode="External"/><Relationship Id="rId162" Type="http://schemas.openxmlformats.org/officeDocument/2006/relationships/hyperlink" Target="https://drive.google.com/file/d/1s1JzzwiGQ1NNJwjno1gRkBn7zyanoVnF/view?usp=drive_link" TargetMode="External"/><Relationship Id="rId283" Type="http://schemas.openxmlformats.org/officeDocument/2006/relationships/hyperlink" Target="https://drive.google.com/file/d/1E4l61LzU_iziPO-DOJUT9_h0MYxiTeSd/view?usp=drive_link" TargetMode="External"/><Relationship Id="rId169" Type="http://schemas.openxmlformats.org/officeDocument/2006/relationships/hyperlink" Target="https://drive.google.com/file/d/1KJf8BUWFJapDLiiTMf2hp0_X4E6xRc11/view?usp=drive_link" TargetMode="External"/><Relationship Id="rId168" Type="http://schemas.openxmlformats.org/officeDocument/2006/relationships/hyperlink" Target="https://drive.google.com/file/d/1cImn3aacHQAvuk1sXdBc_g-9CNYycIwr/view?usp=sharing" TargetMode="External"/><Relationship Id="rId167" Type="http://schemas.openxmlformats.org/officeDocument/2006/relationships/hyperlink" Target="https://drive.google.com/file/d/1C7qep2k-Cfr3I7jXsWUIrFWZHLIhbB5H/view?usp=drive_link" TargetMode="External"/><Relationship Id="rId166" Type="http://schemas.openxmlformats.org/officeDocument/2006/relationships/hyperlink" Target="https://drive.google.com/file/d/1C7qep2k-Cfr3I7jXsWUIrFWZHLIhbB5H/view?usp=drive_link" TargetMode="External"/><Relationship Id="rId287" Type="http://schemas.openxmlformats.org/officeDocument/2006/relationships/drawing" Target="../drawings/drawing1.xml"/><Relationship Id="rId51" Type="http://schemas.openxmlformats.org/officeDocument/2006/relationships/hyperlink" Target="https://drive.google.com/file/d/1DIKwg8HeXmaMB4_le1EjOAjugbZmka_U/view?usp=drive_link" TargetMode="External"/><Relationship Id="rId50" Type="http://schemas.openxmlformats.org/officeDocument/2006/relationships/hyperlink" Target="https://drive.google.com/file/d/1yHQmq3bm6spK99CAg2cpkBz2A_9gA1nL/view?usp=drive_link" TargetMode="External"/><Relationship Id="rId53" Type="http://schemas.openxmlformats.org/officeDocument/2006/relationships/hyperlink" Target="https://drive.google.com/file/d/1Il3m54K_i84akTSdvW89ZvDYfHzhl5e1/view?usp=drive_link" TargetMode="External"/><Relationship Id="rId52" Type="http://schemas.openxmlformats.org/officeDocument/2006/relationships/hyperlink" Target="https://drive.google.com/file/d/1DIKwg8HeXmaMB4_le1EjOAjugbZmka_U/view?usp=drive_link" TargetMode="External"/><Relationship Id="rId55" Type="http://schemas.openxmlformats.org/officeDocument/2006/relationships/hyperlink" Target="https://drive.google.com/file/d/15ThUxjVjJjfmiSe2Uh-9DWAgDxPIXAdO/view?usp=drive_link" TargetMode="External"/><Relationship Id="rId161" Type="http://schemas.openxmlformats.org/officeDocument/2006/relationships/hyperlink" Target="https://drive.google.com/file/d/1G-NcBKKA_7hhWARZjfWke0A6fSa51fov/view?usp=drive_link" TargetMode="External"/><Relationship Id="rId282" Type="http://schemas.openxmlformats.org/officeDocument/2006/relationships/hyperlink" Target="https://drive.google.com/file/d/1NrAJA4DrvGdfB4JKvw6snL0NpLvPGScM/view?usp=drive_link" TargetMode="External"/><Relationship Id="rId54" Type="http://schemas.openxmlformats.org/officeDocument/2006/relationships/hyperlink" Target="https://drive.google.com/file/d/1FvgTwtBLcwHrwKljRu9B6r0SOaSV-f3B/view?usp=drive_link" TargetMode="External"/><Relationship Id="rId160" Type="http://schemas.openxmlformats.org/officeDocument/2006/relationships/hyperlink" Target="https://drive.google.com/file/d/1kFlC6quKkDhWjv_ZTQilng-rK7FkA9Vq/view?usp=drive_link" TargetMode="External"/><Relationship Id="rId281" Type="http://schemas.openxmlformats.org/officeDocument/2006/relationships/hyperlink" Target="https://drive.google.com/file/d/1NrAJA4DrvGdfB4JKvw6snL0NpLvPGScM/view?usp=drive_link" TargetMode="External"/><Relationship Id="rId57" Type="http://schemas.openxmlformats.org/officeDocument/2006/relationships/hyperlink" Target="https://drive.google.com/file/d/16fKKxU88HJ_z5ax_Utclx2FsJ-nycpz7/view?usp=sharing" TargetMode="External"/><Relationship Id="rId280" Type="http://schemas.openxmlformats.org/officeDocument/2006/relationships/hyperlink" Target="https://drive.google.com/file/d/1NrAJA4DrvGdfB4JKvw6snL0NpLvPGScM/view?usp=drive_link" TargetMode="External"/><Relationship Id="rId56" Type="http://schemas.openxmlformats.org/officeDocument/2006/relationships/hyperlink" Target="https://drive.google.com/file/d/1Y8fni7g5oQxRlRra7ShZalNoqaoSekMe/view?usp=drive_link" TargetMode="External"/><Relationship Id="rId159" Type="http://schemas.openxmlformats.org/officeDocument/2006/relationships/hyperlink" Target="https://drive.google.com/file/d/10el3LSnFAYkzp37Yzoa7SJ6BLfeGmYLx/view?usp=sharing" TargetMode="External"/><Relationship Id="rId59" Type="http://schemas.openxmlformats.org/officeDocument/2006/relationships/hyperlink" Target="https://drive.google.com/file/d/1eUR-uyH4rZJG-7WWWH18Mw_Ln5zGw2NX/view?usp=sharing" TargetMode="External"/><Relationship Id="rId154" Type="http://schemas.openxmlformats.org/officeDocument/2006/relationships/hyperlink" Target="https://drive.google.com/file/d/1b7Mag6uBBgH69TYkFm9cujsdmM3M5j8f/view?usp=drive_link" TargetMode="External"/><Relationship Id="rId275" Type="http://schemas.openxmlformats.org/officeDocument/2006/relationships/hyperlink" Target="https://drive.google.com/file/d/19xRls2Af_L_GuUSLbtSCzulhDBTF86BA/view?usp=drive_link" TargetMode="External"/><Relationship Id="rId58" Type="http://schemas.openxmlformats.org/officeDocument/2006/relationships/hyperlink" Target="https://drive.google.com/file/d/1eUR-uyH4rZJG-7WWWH18Mw_Ln5zGw2NX/view?usp=sharing" TargetMode="External"/><Relationship Id="rId153" Type="http://schemas.openxmlformats.org/officeDocument/2006/relationships/hyperlink" Target="https://drive.google.com/file/d/1b7Mag6uBBgH69TYkFm9cujsdmM3M5j8f/view?usp=drive_link" TargetMode="External"/><Relationship Id="rId274" Type="http://schemas.openxmlformats.org/officeDocument/2006/relationships/hyperlink" Target="https://drive.google.com/file/d/121QvoWbR_WU9inGXmPukVu_ZVPvvyO0K/view?usp=drive_link" TargetMode="External"/><Relationship Id="rId152" Type="http://schemas.openxmlformats.org/officeDocument/2006/relationships/hyperlink" Target="https://drive.google.com/file/d/1b7Mag6uBBgH69TYkFm9cujsdmM3M5j8f/view?usp=drive_link" TargetMode="External"/><Relationship Id="rId273" Type="http://schemas.openxmlformats.org/officeDocument/2006/relationships/hyperlink" Target="https://drive.google.com/file/d/121QvoWbR_WU9inGXmPukVu_ZVPvvyO0K/view?usp=drive_link" TargetMode="External"/><Relationship Id="rId151" Type="http://schemas.openxmlformats.org/officeDocument/2006/relationships/hyperlink" Target="https://drive.google.com/file/d/1Sf1K4_dL3sfasMm18PWDgNmX-PxNgvqJ/view?usp=drive_link" TargetMode="External"/><Relationship Id="rId272" Type="http://schemas.openxmlformats.org/officeDocument/2006/relationships/hyperlink" Target="https://drive.google.com/file/d/121QvoWbR_WU9inGXmPukVu_ZVPvvyO0K/view?usp=drive_link" TargetMode="External"/><Relationship Id="rId158" Type="http://schemas.openxmlformats.org/officeDocument/2006/relationships/hyperlink" Target="https://drive.google.com/file/d/1eYqcRdTOYWMxsfMMgqMhXREOvAr7laFA/view?usp=drive_link" TargetMode="External"/><Relationship Id="rId279" Type="http://schemas.openxmlformats.org/officeDocument/2006/relationships/hyperlink" Target="https://drive.google.com/file/d/1cMW4fdNNShuzc4qsmARnj-RPNlxBIiDA/view?usp=drive_link" TargetMode="External"/><Relationship Id="rId157" Type="http://schemas.openxmlformats.org/officeDocument/2006/relationships/hyperlink" Target="https://drive.google.com/file/d/192Q2Bay6XDXcdxiu6AYYFGIq8HnwtZJw/view?usp=drive_link" TargetMode="External"/><Relationship Id="rId278" Type="http://schemas.openxmlformats.org/officeDocument/2006/relationships/hyperlink" Target="https://drive.google.com/file/d/149I00DIE0siVllh9kXy7p4RA6ZqgIPGW/view?usp=drive_link" TargetMode="External"/><Relationship Id="rId156" Type="http://schemas.openxmlformats.org/officeDocument/2006/relationships/hyperlink" Target="https://drive.google.com/file/d/18_thNDmnPuUsQUq87wu6oTaBhFunhCol/view?usp=drive_link" TargetMode="External"/><Relationship Id="rId277" Type="http://schemas.openxmlformats.org/officeDocument/2006/relationships/hyperlink" Target="https://drive.google.com/file/d/1wmEKp2NRSIqQotlTG9L-_AhjL0kbHiUk/view?usp=drive_link" TargetMode="External"/><Relationship Id="rId155" Type="http://schemas.openxmlformats.org/officeDocument/2006/relationships/hyperlink" Target="https://drive.google.com/file/d/1u21dE6dAMGdZpWqXmvAkkz9gnRU_NqxI/view?usp=drive_link" TargetMode="External"/><Relationship Id="rId276" Type="http://schemas.openxmlformats.org/officeDocument/2006/relationships/hyperlink" Target="https://drive.google.com/file/d/1kIgUbZ8WwXwbyzKaEy5PxghHMWCv-xqw/view?usp=drive_link" TargetMode="External"/><Relationship Id="rId107" Type="http://schemas.openxmlformats.org/officeDocument/2006/relationships/hyperlink" Target="https://drive.google.com/file/d/1pIp9twJt7bE5IRw7d6TmKjNAKhhW5p1_/view?usp=drive_link" TargetMode="External"/><Relationship Id="rId228" Type="http://schemas.openxmlformats.org/officeDocument/2006/relationships/hyperlink" Target="https://drive.google.com/file/d/1kmjQlFpFnmTZ3xLfLkKwbwiKRFKltqnw/view" TargetMode="External"/><Relationship Id="rId106" Type="http://schemas.openxmlformats.org/officeDocument/2006/relationships/hyperlink" Target="https://drive.google.com/file/d/17oUQnb9Crbbzd7qO4JPlzsYLoSJVDFQp/view?usp=sharing" TargetMode="External"/><Relationship Id="rId227" Type="http://schemas.openxmlformats.org/officeDocument/2006/relationships/hyperlink" Target="https://drive.google.com/file/d/1kmjQlFpFnmTZ3xLfLkKwbwiKRFKltqnw/view" TargetMode="External"/><Relationship Id="rId105" Type="http://schemas.openxmlformats.org/officeDocument/2006/relationships/hyperlink" Target="https://drive.google.com/file/d/1ZfCASIpS5iDOj5-lg-GUH46uqfZ7OAW-/view?usp=drive_link" TargetMode="External"/><Relationship Id="rId226" Type="http://schemas.openxmlformats.org/officeDocument/2006/relationships/hyperlink" Target="https://drive.google.com/file/d/1kmjQlFpFnmTZ3xLfLkKwbwiKRFKltqnw/view" TargetMode="External"/><Relationship Id="rId104" Type="http://schemas.openxmlformats.org/officeDocument/2006/relationships/hyperlink" Target="https://drive.google.com/file/d/1ZfCASIpS5iDOj5-lg-GUH46uqfZ7OAW-/view?usp=drive_link" TargetMode="External"/><Relationship Id="rId225" Type="http://schemas.openxmlformats.org/officeDocument/2006/relationships/hyperlink" Target="https://drive.google.com/file/d/1kmjQlFpFnmTZ3xLfLkKwbwiKRFKltqnw/view" TargetMode="External"/><Relationship Id="rId109" Type="http://schemas.openxmlformats.org/officeDocument/2006/relationships/hyperlink" Target="https://drive.google.com/file/d/1_75f3Ey0M8EBbFwLGnUQ-qHNsj50Jz01/view?usp=sharing" TargetMode="External"/><Relationship Id="rId108" Type="http://schemas.openxmlformats.org/officeDocument/2006/relationships/hyperlink" Target="https://drive.google.com/file/d/1-sgi0MXk450VkRpaWsAqBfkmlTogBPtO/view?usp=drive_link" TargetMode="External"/><Relationship Id="rId229" Type="http://schemas.openxmlformats.org/officeDocument/2006/relationships/hyperlink" Target="https://drive.google.com/file/d/1kmjQlFpFnmTZ3xLfLkKwbwiKRFKltqnw/view" TargetMode="External"/><Relationship Id="rId220" Type="http://schemas.openxmlformats.org/officeDocument/2006/relationships/hyperlink" Target="https://drive.google.com/file/d/1BesfaiG5niUBsP00jOwrMFoKwb5yxsJ3/view?usp=drive_link" TargetMode="External"/><Relationship Id="rId103" Type="http://schemas.openxmlformats.org/officeDocument/2006/relationships/hyperlink" Target="https://drive.google.com/file/d/1kXYSBBjDsGH77ROr2b35xRxUUVXfBkVE/view?usp=sharing" TargetMode="External"/><Relationship Id="rId224" Type="http://schemas.openxmlformats.org/officeDocument/2006/relationships/hyperlink" Target="https://drive.google.com/file/d/1kmjQlFpFnmTZ3xLfLkKwbwiKRFKltqnw/view" TargetMode="External"/><Relationship Id="rId102" Type="http://schemas.openxmlformats.org/officeDocument/2006/relationships/hyperlink" Target="https://drive.google.com/file/d/1eCPy9pHSb40ogZ8ipIERQ1d-w1aQHk2u/view?usp=drive_link" TargetMode="External"/><Relationship Id="rId223" Type="http://schemas.openxmlformats.org/officeDocument/2006/relationships/hyperlink" Target="https://drive.google.com/file/d/1kmjQlFpFnmTZ3xLfLkKwbwiKRFKltqnw/view" TargetMode="External"/><Relationship Id="rId101" Type="http://schemas.openxmlformats.org/officeDocument/2006/relationships/hyperlink" Target="https://drive.google.com/file/d/1eEsfMuN0AlwxBLASazwIFWlke6YTv1N7/view?usp=sharing" TargetMode="External"/><Relationship Id="rId222" Type="http://schemas.openxmlformats.org/officeDocument/2006/relationships/hyperlink" Target="https://drive.google.com/file/d/1kmjQlFpFnmTZ3xLfLkKwbwiKRFKltqnw/view" TargetMode="External"/><Relationship Id="rId100" Type="http://schemas.openxmlformats.org/officeDocument/2006/relationships/hyperlink" Target="https://drive.google.com/file/d/1m472TtdnxjyyTsm5ZLx_w6Km6h8jUZO-/view?usp=drive_link" TargetMode="External"/><Relationship Id="rId221" Type="http://schemas.openxmlformats.org/officeDocument/2006/relationships/hyperlink" Target="https://drive.google.com/file/d/1BesfaiG5niUBsP00jOwrMFoKwb5yxsJ3/view?usp=drive_link" TargetMode="External"/><Relationship Id="rId217" Type="http://schemas.openxmlformats.org/officeDocument/2006/relationships/hyperlink" Target="https://drive.google.com/file/d/1BesfaiG5niUBsP00jOwrMFoKwb5yxsJ3/view?usp=drive_link" TargetMode="External"/><Relationship Id="rId216" Type="http://schemas.openxmlformats.org/officeDocument/2006/relationships/hyperlink" Target="https://drive.google.com/file/d/1DHjwb1HLvhHLVfcFrBenvBjyB1mNAtgt/view?usp=drive_link" TargetMode="External"/><Relationship Id="rId215" Type="http://schemas.openxmlformats.org/officeDocument/2006/relationships/hyperlink" Target="https://drive.google.com/file/d/1tcwWuP3bWj62lKjVgzlbYmv76lMIRpBl/view?usp=drive_link" TargetMode="External"/><Relationship Id="rId214" Type="http://schemas.openxmlformats.org/officeDocument/2006/relationships/hyperlink" Target="https://drive.google.com/file/d/1wDzCWK3XSFRFJGwHLszJH04suU77AP9L/view?usp=drive_link" TargetMode="External"/><Relationship Id="rId219" Type="http://schemas.openxmlformats.org/officeDocument/2006/relationships/hyperlink" Target="https://drive.google.com/file/d/1BesfaiG5niUBsP00jOwrMFoKwb5yxsJ3/view?usp=drive_link" TargetMode="External"/><Relationship Id="rId218" Type="http://schemas.openxmlformats.org/officeDocument/2006/relationships/hyperlink" Target="https://drive.google.com/file/d/1BesfaiG5niUBsP00jOwrMFoKwb5yxsJ3/view?usp=drive_link" TargetMode="External"/><Relationship Id="rId213" Type="http://schemas.openxmlformats.org/officeDocument/2006/relationships/hyperlink" Target="https://drive.google.com/file/d/1SZfctglAnqxVPN80Dm1Q_xMmsZm-zER2/view?usp=drive_link" TargetMode="External"/><Relationship Id="rId212" Type="http://schemas.openxmlformats.org/officeDocument/2006/relationships/hyperlink" Target="https://drive.google.com/file/d/1qtoj5dlchnvtkR28KF5tBv-I3ut2Cqa3/view?usp=drive_link" TargetMode="External"/><Relationship Id="rId211" Type="http://schemas.openxmlformats.org/officeDocument/2006/relationships/hyperlink" Target="https://drive.google.com/file/d/1XYCPyH7vm6YPF4h5tjFhIF0naKRQ4UL2/view?usp=drive_link" TargetMode="External"/><Relationship Id="rId210" Type="http://schemas.openxmlformats.org/officeDocument/2006/relationships/hyperlink" Target="https://drive.google.com/file/d/1Pe0-kwxsY6D3O6rkPXYGQAIuATJTsGSP/view?usp=drive_link" TargetMode="External"/><Relationship Id="rId129" Type="http://schemas.openxmlformats.org/officeDocument/2006/relationships/hyperlink" Target="https://drive.google.com/file/d/1SAZTq8rNF6fFDiUAgwkxQyvVK53_EjBS/view?usp=drive_link" TargetMode="External"/><Relationship Id="rId128" Type="http://schemas.openxmlformats.org/officeDocument/2006/relationships/hyperlink" Target="https://drive.google.com/file/d/1orUMj_A1kR4pDLK5msKo_IdzlKgACwei/view?usp=drive_link" TargetMode="External"/><Relationship Id="rId249" Type="http://schemas.openxmlformats.org/officeDocument/2006/relationships/hyperlink" Target="https://drive.google.com/file/d/121QvoWbR_WU9inGXmPukVu_ZVPvvyO0K/view?usp=drive_link" TargetMode="External"/><Relationship Id="rId127" Type="http://schemas.openxmlformats.org/officeDocument/2006/relationships/hyperlink" Target="https://drive.google.com/file/d/1awUmMegP5JAp-KIHBHAkiZKPo1P9kFDo/view?usp=drive_link" TargetMode="External"/><Relationship Id="rId248" Type="http://schemas.openxmlformats.org/officeDocument/2006/relationships/hyperlink" Target="https://drive.google.com/file/d/121QvoWbR_WU9inGXmPukVu_ZVPvvyO0K/view?usp=drive_link" TargetMode="External"/><Relationship Id="rId126" Type="http://schemas.openxmlformats.org/officeDocument/2006/relationships/hyperlink" Target="https://drive.google.com/file/d/1PZOITxTbxrIjdOHQU5Gr94y7xKQUZvOY/view?usp=drive_link" TargetMode="External"/><Relationship Id="rId247" Type="http://schemas.openxmlformats.org/officeDocument/2006/relationships/hyperlink" Target="https://drive.google.com/file/d/121QvoWbR_WU9inGXmPukVu_ZVPvvyO0K/view?usp=drive_link" TargetMode="External"/><Relationship Id="rId121" Type="http://schemas.openxmlformats.org/officeDocument/2006/relationships/hyperlink" Target="https://drive.google.com/file/d/1kIgUbZ8WwXwbyzKaEy5PxghHMWCv-xqw/view?usp=drive_link" TargetMode="External"/><Relationship Id="rId242" Type="http://schemas.openxmlformats.org/officeDocument/2006/relationships/hyperlink" Target="https://drive.google.com/file/d/1kmjQlFpFnmTZ3xLfLkKwbwiKRFKltqnw/view" TargetMode="External"/><Relationship Id="rId120" Type="http://schemas.openxmlformats.org/officeDocument/2006/relationships/hyperlink" Target="https://drive.google.com/file/d/1kIgUbZ8WwXwbyzKaEy5PxghHMWCv-xqw/view?usp=drive_link" TargetMode="External"/><Relationship Id="rId241" Type="http://schemas.openxmlformats.org/officeDocument/2006/relationships/hyperlink" Target="https://drive.google.com/file/d/1kmjQlFpFnmTZ3xLfLkKwbwiKRFKltqnw/view" TargetMode="External"/><Relationship Id="rId240" Type="http://schemas.openxmlformats.org/officeDocument/2006/relationships/hyperlink" Target="https://drive.google.com/file/d/1kmjQlFpFnmTZ3xLfLkKwbwiKRFKltqnw/view" TargetMode="External"/><Relationship Id="rId125" Type="http://schemas.openxmlformats.org/officeDocument/2006/relationships/hyperlink" Target="https://drive.google.com/file/d/1l_lXyR8dYvV53-o6MHJoc1KtdAs2tZ2l/view?usp=drive_link" TargetMode="External"/><Relationship Id="rId246" Type="http://schemas.openxmlformats.org/officeDocument/2006/relationships/hyperlink" Target="https://drive.google.com/file/d/121QvoWbR_WU9inGXmPukVu_ZVPvvyO0K/view?usp=drive_link" TargetMode="External"/><Relationship Id="rId124" Type="http://schemas.openxmlformats.org/officeDocument/2006/relationships/hyperlink" Target="https://drive.google.com/file/d/1wyWahsuO8XAkd9oLR8MabAPAnIzne8pg/view?usp=drive_link" TargetMode="External"/><Relationship Id="rId245" Type="http://schemas.openxmlformats.org/officeDocument/2006/relationships/hyperlink" Target="https://drive.google.com/file/d/121QvoWbR_WU9inGXmPukVu_ZVPvvyO0K/view?usp=drive_link" TargetMode="External"/><Relationship Id="rId123" Type="http://schemas.openxmlformats.org/officeDocument/2006/relationships/hyperlink" Target="https://drive.google.com/file/d/1BEAg0fLhZgBoN1WgFLkTibzvMdsfmc9x/view?usp=drive_link" TargetMode="External"/><Relationship Id="rId244" Type="http://schemas.openxmlformats.org/officeDocument/2006/relationships/hyperlink" Target="https://drive.google.com/file/d/121QvoWbR_WU9inGXmPukVu_ZVPvvyO0K/view?usp=drive_link" TargetMode="External"/><Relationship Id="rId122" Type="http://schemas.openxmlformats.org/officeDocument/2006/relationships/hyperlink" Target="https://drive.google.com/file/d/1BEAg0fLhZgBoN1WgFLkTibzvMdsfmc9x/view?usp=drive_link" TargetMode="External"/><Relationship Id="rId243" Type="http://schemas.openxmlformats.org/officeDocument/2006/relationships/hyperlink" Target="https://drive.google.com/file/d/1kmjQlFpFnmTZ3xLfLkKwbwiKRFKltqnw/view" TargetMode="External"/><Relationship Id="rId95" Type="http://schemas.openxmlformats.org/officeDocument/2006/relationships/hyperlink" Target="https://drive.google.com/file/d/1jWEvoLunkYHQ5tYMIF2ctMj8c2BzYtON/view?usp=drive_link" TargetMode="External"/><Relationship Id="rId94" Type="http://schemas.openxmlformats.org/officeDocument/2006/relationships/hyperlink" Target="https://drive.google.com/file/d/1QBkmZahzV1i9tv58qHbTp9MQoV4_FgOJ/view?usp=drive_link" TargetMode="External"/><Relationship Id="rId97" Type="http://schemas.openxmlformats.org/officeDocument/2006/relationships/hyperlink" Target="https://drive.google.com/file/d/1nxnYbb5m-Au8rW93yZGFnuHfw-dEQAg3/view?usp=drive_link" TargetMode="External"/><Relationship Id="rId96" Type="http://schemas.openxmlformats.org/officeDocument/2006/relationships/hyperlink" Target="https://drive.google.com/file/d/1xnruTgt7P3Cbzzz-4732zXpo4gYOyot4/view?usp=drive_link" TargetMode="External"/><Relationship Id="rId99" Type="http://schemas.openxmlformats.org/officeDocument/2006/relationships/hyperlink" Target="https://drive.google.com/file/d/1nxnYbb5m-Au8rW93yZGFnuHfw-dEQAg3/view?usp=drive_link" TargetMode="External"/><Relationship Id="rId98" Type="http://schemas.openxmlformats.org/officeDocument/2006/relationships/hyperlink" Target="https://drive.google.com/file/d/1nxnYbb5m-Au8rW93yZGFnuHfw-dEQAg3/view?usp=drive_link" TargetMode="External"/><Relationship Id="rId91" Type="http://schemas.openxmlformats.org/officeDocument/2006/relationships/hyperlink" Target="https://drive.google.com/file/d/1uS0agdqfGN8tH8MdahJLRuuLBhvcyMmV/view?usp=drive_link" TargetMode="External"/><Relationship Id="rId90" Type="http://schemas.openxmlformats.org/officeDocument/2006/relationships/hyperlink" Target="https://drive.google.com/file/d/1uS0agdqfGN8tH8MdahJLRuuLBhvcyMmV/view?usp=drive_link" TargetMode="External"/><Relationship Id="rId93" Type="http://schemas.openxmlformats.org/officeDocument/2006/relationships/hyperlink" Target="https://drive.google.com/file/d/1yHQmq3bm6spK99CAg2cpkBz2A_9gA1nL/view?usp=drive_link" TargetMode="External"/><Relationship Id="rId92" Type="http://schemas.openxmlformats.org/officeDocument/2006/relationships/hyperlink" Target="https://drive.google.com/file/d/1yHQmq3bm6spK99CAg2cpkBz2A_9gA1nL/view?usp=drive_link" TargetMode="External"/><Relationship Id="rId118" Type="http://schemas.openxmlformats.org/officeDocument/2006/relationships/hyperlink" Target="https://drive.google.com/file/d/1UT61rRhwvqmopviGD2ABrysy3BGWZ2JZ/view?usp=drive_link" TargetMode="External"/><Relationship Id="rId239" Type="http://schemas.openxmlformats.org/officeDocument/2006/relationships/hyperlink" Target="https://drive.google.com/file/d/1kmjQlFpFnmTZ3xLfLkKwbwiKRFKltqnw/view" TargetMode="External"/><Relationship Id="rId117" Type="http://schemas.openxmlformats.org/officeDocument/2006/relationships/hyperlink" Target="https://drive.google.com/file/d/1NVQrtGIRNFM4O-ucOe1O1bRd9qNMMm7H/view?usp=drive_link" TargetMode="External"/><Relationship Id="rId238" Type="http://schemas.openxmlformats.org/officeDocument/2006/relationships/hyperlink" Target="https://drive.google.com/file/d/1kmjQlFpFnmTZ3xLfLkKwbwiKRFKltqnw/view" TargetMode="External"/><Relationship Id="rId116" Type="http://schemas.openxmlformats.org/officeDocument/2006/relationships/hyperlink" Target="https://drive.google.com/file/d/1_Loe3fd_6_cF2kAaFDsj0J2Ta2qBe0UQ/view?usp=drive_link" TargetMode="External"/><Relationship Id="rId237" Type="http://schemas.openxmlformats.org/officeDocument/2006/relationships/hyperlink" Target="https://drive.google.com/file/d/1kmjQlFpFnmTZ3xLfLkKwbwiKRFKltqnw/view" TargetMode="External"/><Relationship Id="rId115" Type="http://schemas.openxmlformats.org/officeDocument/2006/relationships/hyperlink" Target="https://drive.google.com/file/d/13YIqnI94-DPSlwI652KWyPMY7hlP8_AL/view?usp=drive_link" TargetMode="External"/><Relationship Id="rId236" Type="http://schemas.openxmlformats.org/officeDocument/2006/relationships/hyperlink" Target="https://drive.google.com/file/d/1kmjQlFpFnmTZ3xLfLkKwbwiKRFKltqnw/view" TargetMode="External"/><Relationship Id="rId119" Type="http://schemas.openxmlformats.org/officeDocument/2006/relationships/hyperlink" Target="https://drive.google.com/file/d/1kIgUbZ8WwXwbyzKaEy5PxghHMWCv-xqw/view?usp=drive_link" TargetMode="External"/><Relationship Id="rId110" Type="http://schemas.openxmlformats.org/officeDocument/2006/relationships/hyperlink" Target="https://drive.google.com/file/d/1lciW33WoYwMj8R1hw2NH4ami89Fg_ZLf/view?usp=drive_link" TargetMode="External"/><Relationship Id="rId231" Type="http://schemas.openxmlformats.org/officeDocument/2006/relationships/hyperlink" Target="https://drive.google.com/file/d/1kmjQlFpFnmTZ3xLfLkKwbwiKRFKltqnw/view" TargetMode="External"/><Relationship Id="rId230" Type="http://schemas.openxmlformats.org/officeDocument/2006/relationships/hyperlink" Target="https://drive.google.com/file/d/1kmjQlFpFnmTZ3xLfLkKwbwiKRFKltqnw/view" TargetMode="External"/><Relationship Id="rId114" Type="http://schemas.openxmlformats.org/officeDocument/2006/relationships/hyperlink" Target="https://drive.google.com/file/d/13YIqnI94-DPSlwI652KWyPMY7hlP8_AL/view?usp=drive_link" TargetMode="External"/><Relationship Id="rId235" Type="http://schemas.openxmlformats.org/officeDocument/2006/relationships/hyperlink" Target="https://drive.google.com/file/d/1kmjQlFpFnmTZ3xLfLkKwbwiKRFKltqnw/view" TargetMode="External"/><Relationship Id="rId113" Type="http://schemas.openxmlformats.org/officeDocument/2006/relationships/hyperlink" Target="https://drive.google.com/file/d/14sSLUaFyy8d7UYDSF5HKnmeDNkAAsAHC/view?usp=sharing" TargetMode="External"/><Relationship Id="rId234" Type="http://schemas.openxmlformats.org/officeDocument/2006/relationships/hyperlink" Target="https://drive.google.com/file/d/1kmjQlFpFnmTZ3xLfLkKwbwiKRFKltqnw/view" TargetMode="External"/><Relationship Id="rId112" Type="http://schemas.openxmlformats.org/officeDocument/2006/relationships/hyperlink" Target="https://drive.google.com/file/d/14sSLUaFyy8d7UYDSF5HKnmeDNkAAsAHC/view?usp=sharing" TargetMode="External"/><Relationship Id="rId233" Type="http://schemas.openxmlformats.org/officeDocument/2006/relationships/hyperlink" Target="https://drive.google.com/file/d/1kmjQlFpFnmTZ3xLfLkKwbwiKRFKltqnw/view" TargetMode="External"/><Relationship Id="rId111" Type="http://schemas.openxmlformats.org/officeDocument/2006/relationships/hyperlink" Target="https://drive.google.com/file/d/1lciW33WoYwMj8R1hw2NH4ami89Fg_ZLf/view?usp=drive_link" TargetMode="External"/><Relationship Id="rId232" Type="http://schemas.openxmlformats.org/officeDocument/2006/relationships/hyperlink" Target="https://drive.google.com/file/d/1kmjQlFpFnmTZ3xLfLkKwbwiKRFKltqnw/view" TargetMode="External"/><Relationship Id="rId206" Type="http://schemas.openxmlformats.org/officeDocument/2006/relationships/hyperlink" Target="https://drive.google.com/file/d/1_Go_NEKwjO-oVDXeHdako945n3AcsJte/view?usp=sharing" TargetMode="External"/><Relationship Id="rId205" Type="http://schemas.openxmlformats.org/officeDocument/2006/relationships/hyperlink" Target="https://drive.google.com/file/d/1Qc9La8ddqppd6y_WwZAmltOrXS18mqf8/view?usp=drive_link" TargetMode="External"/><Relationship Id="rId204" Type="http://schemas.openxmlformats.org/officeDocument/2006/relationships/hyperlink" Target="https://drive.google.com/file/d/1_Go_NEKwjO-oVDXeHdako945n3AcsJte/view?usp=sharing" TargetMode="External"/><Relationship Id="rId203" Type="http://schemas.openxmlformats.org/officeDocument/2006/relationships/hyperlink" Target="https://drive.google.com/file/d/1AwF53kf6FWwnlQadoQT51OceFL58YtTB/view?usp=drive_link" TargetMode="External"/><Relationship Id="rId209" Type="http://schemas.openxmlformats.org/officeDocument/2006/relationships/hyperlink" Target="https://drive.google.com/file/d/17grsiPyswltoB-EdP3d0ZbQplUho7MuK/view?usp=drive_link" TargetMode="External"/><Relationship Id="rId208" Type="http://schemas.openxmlformats.org/officeDocument/2006/relationships/hyperlink" Target="https://drive.google.com/file/d/1umszbtMMhBXO2GFpYs62s0L5RMO2dw2k/view?usp=drive_link" TargetMode="External"/><Relationship Id="rId207" Type="http://schemas.openxmlformats.org/officeDocument/2006/relationships/hyperlink" Target="https://drive.google.com/file/d/1l7wSsAUjmoKIAImrTGiXsk-_MHDSlXAL/view?usp=drive_link" TargetMode="External"/><Relationship Id="rId202" Type="http://schemas.openxmlformats.org/officeDocument/2006/relationships/hyperlink" Target="https://drive.google.com/file/d/1SYwpegNmHS6QlEHdZ-3OP_APUFDcztK4/view?usp=sharing" TargetMode="External"/><Relationship Id="rId201" Type="http://schemas.openxmlformats.org/officeDocument/2006/relationships/hyperlink" Target="https://drive.google.com/file/d/16bsd2hIyupSRtLvS-P5ZLD5r1hxp63L3/view?usp=drive_link" TargetMode="External"/><Relationship Id="rId200" Type="http://schemas.openxmlformats.org/officeDocument/2006/relationships/hyperlink" Target="https://drive.google.com/file/d/1S7XBrnkJzIeSeIObb1__6djCkIDCPXhV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6.5"/>
    <col customWidth="1" min="3" max="3" width="125.63"/>
    <col customWidth="1" min="4" max="4" width="9.5"/>
    <col customWidth="1" min="5" max="5" width="20.75"/>
    <col customWidth="1" min="6" max="6" width="20.0"/>
    <col customWidth="1" min="7" max="7" width="16.13"/>
  </cols>
  <sheetData>
    <row r="1" ht="144.0" customHeight="1">
      <c r="A1" s="1" t="s">
        <v>0</v>
      </c>
      <c r="B1" s="2"/>
      <c r="C1" s="3"/>
      <c r="D1" s="4"/>
      <c r="E1" s="5" t="s">
        <v>1</v>
      </c>
      <c r="F1" s="6"/>
      <c r="G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ht="28.5" customHeight="1">
      <c r="A2" s="8" t="s">
        <v>2</v>
      </c>
      <c r="D2" s="9"/>
      <c r="E2" s="10"/>
    </row>
    <row r="3" ht="142.5" customHeight="1">
      <c r="A3" s="11" t="s">
        <v>3</v>
      </c>
      <c r="B3" s="2"/>
      <c r="C3" s="2"/>
      <c r="D3" s="2"/>
      <c r="E3" s="3"/>
    </row>
    <row r="4">
      <c r="A4" s="12" t="s">
        <v>4</v>
      </c>
      <c r="B4" s="13"/>
      <c r="C4" s="14" t="s">
        <v>5</v>
      </c>
      <c r="D4" s="15"/>
      <c r="E4" s="16"/>
    </row>
    <row r="5">
      <c r="A5" s="17"/>
      <c r="B5" s="18"/>
      <c r="C5" s="14" t="s">
        <v>6</v>
      </c>
      <c r="D5" s="15"/>
      <c r="E5" s="16"/>
    </row>
    <row r="6">
      <c r="A6" s="17"/>
      <c r="B6" s="18"/>
      <c r="C6" s="14" t="s">
        <v>7</v>
      </c>
      <c r="D6" s="15"/>
      <c r="E6" s="16"/>
    </row>
    <row r="7">
      <c r="A7" s="17"/>
      <c r="B7" s="18"/>
      <c r="C7" s="14" t="s">
        <v>8</v>
      </c>
      <c r="D7" s="15"/>
      <c r="E7" s="16"/>
    </row>
    <row r="8" ht="15.0" customHeight="1">
      <c r="A8" s="17"/>
      <c r="B8" s="18"/>
      <c r="C8" s="14" t="s">
        <v>9</v>
      </c>
      <c r="D8" s="15"/>
      <c r="E8" s="16"/>
    </row>
    <row r="9">
      <c r="A9" s="17"/>
      <c r="B9" s="18"/>
      <c r="C9" s="14" t="s">
        <v>10</v>
      </c>
      <c r="D9" s="15"/>
      <c r="E9" s="16"/>
    </row>
    <row r="10">
      <c r="A10" s="17"/>
      <c r="B10" s="18"/>
      <c r="C10" s="14" t="s">
        <v>11</v>
      </c>
      <c r="D10" s="15"/>
      <c r="E10" s="16"/>
    </row>
    <row r="11">
      <c r="A11" s="17"/>
      <c r="B11" s="18"/>
      <c r="C11" s="14" t="s">
        <v>12</v>
      </c>
      <c r="D11" s="15"/>
      <c r="E11" s="16"/>
    </row>
    <row r="12">
      <c r="A12" s="17"/>
      <c r="B12" s="18"/>
      <c r="C12" s="14" t="s">
        <v>13</v>
      </c>
      <c r="D12" s="15"/>
      <c r="E12" s="16"/>
    </row>
    <row r="13">
      <c r="A13" s="17"/>
      <c r="B13" s="18"/>
      <c r="C13" s="14" t="s">
        <v>14</v>
      </c>
      <c r="D13" s="15"/>
      <c r="E13" s="16"/>
    </row>
    <row r="14">
      <c r="A14" s="17"/>
      <c r="B14" s="18"/>
      <c r="C14" s="19" t="s">
        <v>15</v>
      </c>
      <c r="D14" s="15"/>
      <c r="E14" s="16"/>
    </row>
    <row r="15">
      <c r="A15" s="17"/>
      <c r="B15" s="18"/>
      <c r="C15" s="14"/>
      <c r="D15" s="15"/>
      <c r="E15" s="16"/>
    </row>
    <row r="16">
      <c r="A16" s="17"/>
      <c r="B16" s="18"/>
      <c r="C16" s="14"/>
      <c r="D16" s="15"/>
      <c r="E16" s="16"/>
    </row>
    <row r="17">
      <c r="A17" s="17"/>
      <c r="B17" s="18"/>
      <c r="C17" s="14"/>
      <c r="D17" s="15"/>
      <c r="E17" s="16"/>
    </row>
    <row r="18">
      <c r="A18" s="17"/>
      <c r="B18" s="18"/>
      <c r="C18" s="14"/>
      <c r="D18" s="15"/>
      <c r="E18" s="16"/>
    </row>
    <row r="19">
      <c r="A19" s="17"/>
      <c r="B19" s="18"/>
      <c r="C19" s="14"/>
      <c r="D19" s="15"/>
      <c r="E19" s="16"/>
    </row>
    <row r="20">
      <c r="A20" s="17"/>
      <c r="B20" s="18"/>
      <c r="C20" s="14"/>
      <c r="D20" s="15"/>
      <c r="E20" s="16"/>
    </row>
    <row r="21">
      <c r="A21" s="17"/>
      <c r="B21" s="18"/>
      <c r="C21" s="14"/>
      <c r="D21" s="15"/>
      <c r="E21" s="16"/>
    </row>
    <row r="22">
      <c r="A22" s="17"/>
      <c r="B22" s="18"/>
      <c r="C22" s="14"/>
      <c r="D22" s="15"/>
      <c r="E22" s="16"/>
    </row>
    <row r="23">
      <c r="A23" s="20" t="s">
        <v>16</v>
      </c>
      <c r="B23" s="21" t="s">
        <v>17</v>
      </c>
      <c r="C23" s="22" t="s">
        <v>18</v>
      </c>
      <c r="E23" s="18"/>
    </row>
    <row r="24">
      <c r="A24" s="23" t="s">
        <v>19</v>
      </c>
      <c r="B24" s="24"/>
      <c r="C24" s="24"/>
      <c r="D24" s="24"/>
      <c r="E24" s="13"/>
    </row>
    <row r="25">
      <c r="A25" s="25">
        <f>'.'!A2</f>
        <v>1</v>
      </c>
      <c r="B25" s="26" t="str">
        <f>'.'!C2</f>
        <v>INMEDIATO</v>
      </c>
      <c r="C25" s="27" t="str">
        <f>'.'!D2</f>
        <v>LONGI - 430w HiMOX6-LR5-54HTB (USD/watt) </v>
      </c>
      <c r="D25" s="28">
        <f>'.'!F2</f>
        <v>0.2302325581</v>
      </c>
      <c r="E25" s="29"/>
    </row>
    <row r="26">
      <c r="A26" s="25">
        <f>'.'!A3</f>
        <v>2</v>
      </c>
      <c r="B26" s="26" t="str">
        <f>'.'!C3</f>
        <v>INMEDIATO</v>
      </c>
      <c r="C26" s="27" t="str">
        <f>'.'!D3</f>
        <v>LONGI - 645w LR7-72HVH  N-Type HPBC 2.0, HI-MO X10  (USD/watt)  . se vende por unidad  15% mas caro. </v>
      </c>
      <c r="D26" s="28">
        <f>'.'!F3</f>
        <v>0.1914</v>
      </c>
      <c r="E26" s="30" t="s">
        <v>20</v>
      </c>
    </row>
    <row r="27">
      <c r="A27" s="25">
        <f>'.'!A4</f>
        <v>3</v>
      </c>
      <c r="B27" s="26" t="str">
        <f>'.'!C4</f>
        <v>INMEDIATO</v>
      </c>
      <c r="C27" s="27" t="str">
        <f>'.'!D4</f>
        <v>LONGI - 610w BIFACIAL (USD/watt) - se vende por unidad  15% mas caro. </v>
      </c>
      <c r="D27" s="28">
        <v>0.21</v>
      </c>
      <c r="E27" s="30" t="s">
        <v>20</v>
      </c>
    </row>
    <row r="28">
      <c r="A28" s="25">
        <f>'.'!A5</f>
        <v>4</v>
      </c>
      <c r="B28" s="26" t="str">
        <f>'.'!C5</f>
        <v>SIN FECHA ESTIMADA</v>
      </c>
      <c r="C28" s="27" t="str">
        <f>'.'!D5</f>
        <v>TRINA - BIFACIAL 570 (USD/watt).- se vende pallet cerrado </v>
      </c>
      <c r="D28" s="28">
        <f>'.'!F5</f>
        <v>0.161</v>
      </c>
      <c r="E28" s="31" t="s">
        <v>20</v>
      </c>
    </row>
    <row r="29">
      <c r="A29" s="25">
        <f>'.'!A6</f>
        <v>5</v>
      </c>
      <c r="B29" s="26" t="str">
        <f>'.'!C6</f>
        <v>SIN FECHA ESTIMADA</v>
      </c>
      <c r="C29" s="27" t="str">
        <f>'.'!D6</f>
        <v>TRINA - BIFACIAL 605w TIPO N (USD/watt)- se vende pallet cerrado</v>
      </c>
      <c r="D29" s="28">
        <f>'.'!F6</f>
        <v>0.161</v>
      </c>
      <c r="E29" s="32" t="s">
        <v>20</v>
      </c>
    </row>
    <row r="30">
      <c r="A30" s="25">
        <f>'.'!A7</f>
        <v>6</v>
      </c>
      <c r="B30" s="26" t="str">
        <f>'.'!C7</f>
        <v>INMEDIATO</v>
      </c>
      <c r="C30" s="27" t="str">
        <f>'.'!D7</f>
        <v>TRINA - BIFACIAL 615w TIPO N (USD/watt)- se vende pallet cerrado </v>
      </c>
      <c r="D30" s="28">
        <f>'.'!F7</f>
        <v>0.1749</v>
      </c>
      <c r="E30" s="33"/>
    </row>
    <row r="31">
      <c r="A31" s="25">
        <f>'.'!A8</f>
        <v>7</v>
      </c>
      <c r="B31" s="26" t="str">
        <f>'.'!C8</f>
        <v>INMEDIATO</v>
      </c>
      <c r="C31" s="27" t="str">
        <f>'.'!D8</f>
        <v>TRINA - MONOFACIAL 620w TIPO N (USD/watt)- se vende pallet cerrado </v>
      </c>
      <c r="D31" s="28">
        <f>'.'!F8</f>
        <v>0.1749</v>
      </c>
      <c r="E31" s="33"/>
    </row>
    <row r="32">
      <c r="A32" s="25">
        <f>'.'!A9</f>
        <v>8</v>
      </c>
      <c r="B32" s="34" t="str">
        <f>'.'!C9</f>
        <v>LIQUIDACION. Quedan 9 unidades</v>
      </c>
      <c r="C32" s="35" t="str">
        <f>'.'!D9</f>
        <v>TRINA - BIFACIAL 630w TIPO N (USD/watt)- se vende pallet cerrrado (o por unidad con costo de flete al transporte de usd 35+iva por entrega total)</v>
      </c>
      <c r="D32" s="28">
        <f>'.'!F9</f>
        <v>0.165</v>
      </c>
      <c r="E32" s="31" t="s">
        <v>20</v>
      </c>
    </row>
    <row r="33">
      <c r="A33" s="25">
        <f>'.'!A10</f>
        <v>9</v>
      </c>
      <c r="B33" s="26" t="str">
        <f>'.'!C10</f>
        <v>INMEDIATO</v>
      </c>
      <c r="C33" s="27" t="str">
        <f>'.'!D10</f>
        <v>TRINA - MONOFACIAL 670w (USD/watt).- se vende pallet cerrado. Se entrega en transporte en Cordoba</v>
      </c>
      <c r="D33" s="28">
        <f>'.'!F10</f>
        <v>0.1815</v>
      </c>
      <c r="E33" s="31" t="s">
        <v>20</v>
      </c>
    </row>
    <row r="34">
      <c r="A34" s="25">
        <f>'.'!A11</f>
        <v>10</v>
      </c>
      <c r="B34" s="26" t="str">
        <f>'.'!C11</f>
        <v>INMEDIATO</v>
      </c>
      <c r="C34" s="27" t="str">
        <f>'.'!D11</f>
        <v>TRINA - BIFACIAL 715 (USD/watt).- se vende pallet cerrado. Se retira por depo Soldati o va a transporte en CTC</v>
      </c>
      <c r="D34" s="28">
        <f>'.'!F11</f>
        <v>0.1947</v>
      </c>
      <c r="E34" s="36" t="s">
        <v>20</v>
      </c>
      <c r="F34" s="37"/>
      <c r="G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</row>
    <row r="35">
      <c r="A35" s="25">
        <f>'.'!A12</f>
        <v>11</v>
      </c>
      <c r="B35" s="26" t="str">
        <f>'.'!C12</f>
        <v>INMEDIATO</v>
      </c>
      <c r="C35" s="27" t="str">
        <f>'.'!D12</f>
        <v>JINKO - M/M 475w TIGER NEO JKM475-60HL4. se vende pallet cerrado o por unidad 30% mas caro</v>
      </c>
      <c r="D35" s="28">
        <v>0.166</v>
      </c>
      <c r="E35" s="36" t="s">
        <v>20</v>
      </c>
      <c r="F35" s="37"/>
      <c r="G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</row>
    <row r="36">
      <c r="A36" s="25">
        <f>'.'!A13</f>
        <v>12</v>
      </c>
      <c r="B36" s="34" t="str">
        <f>'.'!C13</f>
        <v>LIQUIDACION. Quedan 5 unidades</v>
      </c>
      <c r="C36" s="27" t="str">
        <f>'.'!D13</f>
        <v>JINKO - BIFACIAL 585 w 72HL4-BDV  (USD/watt)- Se retiran por depo soldati</v>
      </c>
      <c r="D36" s="28">
        <f>'.'!E13</f>
        <v>0.15</v>
      </c>
      <c r="E36" s="36" t="s">
        <v>20</v>
      </c>
      <c r="F36" s="38"/>
      <c r="G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</row>
    <row r="37">
      <c r="A37" s="39">
        <f>'.'!A14</f>
        <v>46034</v>
      </c>
      <c r="B37" s="26" t="str">
        <f>'.'!C14</f>
        <v>INMEDIATO</v>
      </c>
      <c r="C37" s="27" t="str">
        <f>'.'!D14</f>
        <v>JINKO - MONOF 585 w 72HL4-BDV  (USD/watt)- Se envia a transporte en Cordoba</v>
      </c>
      <c r="D37" s="28">
        <f>'.'!F14</f>
        <v>0.18955</v>
      </c>
      <c r="E37" s="40"/>
      <c r="F37" s="38"/>
      <c r="G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</row>
    <row r="38">
      <c r="A38" s="25">
        <f>'.'!A15</f>
        <v>13</v>
      </c>
      <c r="B38" s="34" t="str">
        <f>'.'!C15</f>
        <v>IMPO: 90 a 120 dias corridos</v>
      </c>
      <c r="C38" s="27" t="str">
        <f>'.'!D15</f>
        <v>JINKO - BIF 725 w TIPO N (USD/watt) se vende contenedor entero (20 pallet de 33 u)</v>
      </c>
      <c r="D38" s="28">
        <v>0.15</v>
      </c>
      <c r="E38" s="36" t="s">
        <v>20</v>
      </c>
      <c r="F38" s="38"/>
      <c r="G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</row>
    <row r="39" ht="21.75" customHeight="1">
      <c r="A39" s="25">
        <f>'.'!A16</f>
        <v>14</v>
      </c>
      <c r="B39" s="34" t="str">
        <f>'.'!C16</f>
        <v>INMEDIATO</v>
      </c>
      <c r="C39" s="27" t="str">
        <f>'.'!D16</f>
        <v>JINKO - BIFACIAL TIPO N, 620w(USD/watt)-se vende por unidad 32% mas caro. </v>
      </c>
      <c r="D39" s="28">
        <f>'.'!F16</f>
        <v>0.17446</v>
      </c>
      <c r="E39" s="36" t="s">
        <v>20</v>
      </c>
      <c r="F39" s="42"/>
      <c r="G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</row>
    <row r="40">
      <c r="A40" s="25">
        <f>'.'!A17</f>
        <v>15</v>
      </c>
      <c r="B40" s="43" t="str">
        <f>'.'!C17</f>
        <v>INMEDIATO</v>
      </c>
      <c r="C40" s="44" t="str">
        <f>'.'!D17</f>
        <v>JINKO - M/M TOPcon, 715w(USD/watt)-se vende palet cerrado</v>
      </c>
      <c r="D40" s="45">
        <f>'.'!F17</f>
        <v>0.155</v>
      </c>
      <c r="E40" s="36" t="s">
        <v>20</v>
      </c>
      <c r="F40" s="41"/>
      <c r="G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</row>
    <row r="41">
      <c r="A41" s="25">
        <f>'.'!A18</f>
        <v>16</v>
      </c>
      <c r="B41" s="43" t="str">
        <f>'.'!C18</f>
        <v>INMEDIATO</v>
      </c>
      <c r="C41" s="44" t="str">
        <f>'.'!D18</f>
        <v>JA SOLAR - BIFACIAL 600w - se vende pallet cerrado</v>
      </c>
      <c r="D41" s="45">
        <f>'.'!F18</f>
        <v>0.155</v>
      </c>
      <c r="E41" s="36" t="s">
        <v>20</v>
      </c>
      <c r="F41" s="41"/>
      <c r="G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</row>
    <row r="42">
      <c r="A42" s="25">
        <f>'.'!A19</f>
        <v>17</v>
      </c>
      <c r="B42" s="26" t="str">
        <f>'.'!C19</f>
        <v>INMEDIATO</v>
      </c>
      <c r="C42" s="27" t="str">
        <f>'.'!D19</f>
        <v>TRINA - BiFACIAL 620w TIPO N  (USD/watt)-se vende pallet cerrado  -  </v>
      </c>
      <c r="D42" s="28">
        <f>'.'!F19</f>
        <v>0.1749</v>
      </c>
      <c r="E42" s="36" t="s">
        <v>20</v>
      </c>
      <c r="F42" s="41"/>
      <c r="G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</row>
    <row r="43" ht="19.5" customHeight="1">
      <c r="A43" s="25">
        <f>'.'!A20</f>
        <v>18</v>
      </c>
      <c r="B43" s="26" t="str">
        <f>'.'!C20</f>
        <v>INMEDIATO. 5 a 10 dias habiles para despachar</v>
      </c>
      <c r="C43" s="27" t="str">
        <f>'.'!D20</f>
        <v>LUXEN 144C. Mono Serie 4  410Wp PERC- se vende por unidad 2.5% mas caro (35mm) -5 a 10 dias habiles para despachar</v>
      </c>
      <c r="D43" s="28">
        <f>'.'!F20</f>
        <v>0.16576</v>
      </c>
      <c r="E43" s="46"/>
      <c r="F43" s="41"/>
      <c r="G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</row>
    <row r="44" ht="19.5" customHeight="1">
      <c r="A44" s="25">
        <f>'.'!A21</f>
        <v>19</v>
      </c>
      <c r="B44" s="26" t="str">
        <f>'.'!C21</f>
        <v>SIN FECHA ESTIMADA</v>
      </c>
      <c r="C44" s="27" t="str">
        <f>'.'!D21</f>
        <v>LUXEN 144C. Mono Serie 5 550Wp PERC (35mm)- se vende por unidad 2.5% mas caro - 5 a 10 dias habiles para despachar</v>
      </c>
      <c r="D44" s="28">
        <f>'.'!F21</f>
        <v>0.16128</v>
      </c>
      <c r="E44" s="46"/>
      <c r="F44" s="41"/>
      <c r="G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</row>
    <row r="45" ht="19.5" customHeight="1">
      <c r="A45" s="25">
        <f>'.'!A22</f>
        <v>20</v>
      </c>
      <c r="B45" s="26" t="str">
        <f>'.'!C22</f>
        <v>SIN FECHA ESTIMADA</v>
      </c>
      <c r="C45" s="27" t="str">
        <f>'.'!D22</f>
        <v>LUXEN - 144C. M/M . Serie 5  550Wp PERC BLACK (35mm)- se vende por unidad 2.5% mas caro - 5 a 10 dias habiles para despachar</v>
      </c>
      <c r="D45" s="28">
        <f>'.'!F22</f>
        <v>0.165</v>
      </c>
      <c r="E45" s="47" t="s">
        <v>20</v>
      </c>
      <c r="F45" s="41"/>
      <c r="G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</row>
    <row r="46" ht="19.5" customHeight="1">
      <c r="A46" s="25">
        <f>'.'!A23</f>
        <v>21</v>
      </c>
      <c r="B46" s="26" t="str">
        <f>'.'!C23</f>
        <v>INMEDIATO. Se vende por unidad</v>
      </c>
      <c r="C46" s="27" t="str">
        <f>'.'!D23</f>
        <v>LUXEN - 132C. M/M N5 585Wp TOPcon- se vende por unidad 2.5% mas caro  - 5 a 10 dias habiles para despachar</v>
      </c>
      <c r="D46" s="28">
        <f>'.'!F23</f>
        <v>0.1694</v>
      </c>
      <c r="E46" s="48" t="s">
        <v>20</v>
      </c>
      <c r="F46" s="49"/>
      <c r="G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</row>
    <row r="47" ht="19.5" customHeight="1">
      <c r="A47" s="25">
        <f>'.'!A24</f>
        <v>22</v>
      </c>
      <c r="B47" s="26" t="str">
        <f>'.'!C24</f>
        <v>INMEDIATO. Se vende por unidad</v>
      </c>
      <c r="C47" s="27" t="str">
        <f>'.'!D24</f>
        <v>LUXEN - 132C. N5 RECT 585Wp TOPCon GoG bifacial - se vende por unidad 2.5% mas caro (36u x pallet) - 5 a 10 dias habiles para despachar</v>
      </c>
      <c r="D47" s="28">
        <f>'.'!F24</f>
        <v>0.1694</v>
      </c>
      <c r="E47" s="47" t="s">
        <v>20</v>
      </c>
      <c r="F47" s="49"/>
      <c r="G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</row>
    <row r="48" ht="19.5" customHeight="1">
      <c r="A48" s="25">
        <f>'.'!A25</f>
        <v>23</v>
      </c>
      <c r="B48" s="26" t="str">
        <f>'.'!C25</f>
        <v>INMEDIATO. Se vende por unidad</v>
      </c>
      <c r="C48" s="27" t="str">
        <f>'.'!D25</f>
        <v>LUXEN 144C. Mono N5 RECT 630Wp TOPCon- se vende por unidad 2.5% mas caro. - 5 a 10 dias habiles para despachar</v>
      </c>
      <c r="D48" s="28">
        <f>'.'!F25</f>
        <v>0.1694</v>
      </c>
      <c r="E48" s="48" t="s">
        <v>20</v>
      </c>
      <c r="F48" s="49"/>
      <c r="G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</row>
    <row r="49" ht="19.5" customHeight="1">
      <c r="A49" s="25">
        <f>'.'!A26</f>
        <v>24</v>
      </c>
      <c r="B49" s="26" t="str">
        <f>'.'!C26</f>
        <v>INMEDIATO. Se vende por unidad</v>
      </c>
      <c r="C49" s="27" t="str">
        <f>'.'!D26</f>
        <v>LUXEN - 132C. Mono N6 700Wp TOPCon GoG Bifacial- se vende por unidad 2.5% mas caro (34u x pallet) - 5 a 10 dias habiles para despachar</v>
      </c>
      <c r="D49" s="28">
        <f>'.'!F26</f>
        <v>0.1694</v>
      </c>
      <c r="E49" s="50" t="s">
        <v>20</v>
      </c>
      <c r="F49" s="49"/>
      <c r="G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</row>
    <row r="50" ht="23.25" customHeight="1">
      <c r="A50" s="25">
        <f>'.'!A27</f>
        <v>25</v>
      </c>
      <c r="B50" s="51" t="str">
        <f>'.'!C27</f>
        <v>LIQUIDACION PALLET CERRADO</v>
      </c>
      <c r="C50" s="52" t="str">
        <f>'.'!D27</f>
        <v>ASTROENERGY - BIFACIAL 144 CEL. N TYPE 575W CABLE 1.4M. Se vende pallet cerrado. Se entrega en transporte en Cordoba</v>
      </c>
      <c r="D50" s="53">
        <f>'.'!E27</f>
        <v>0.15</v>
      </c>
      <c r="E50" s="54" t="s">
        <v>20</v>
      </c>
      <c r="F50" s="55"/>
      <c r="G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</row>
    <row r="51" ht="23.25" customHeight="1">
      <c r="A51" s="25">
        <f>'.'!A28</f>
        <v>26</v>
      </c>
      <c r="B51" s="26" t="str">
        <f>'.'!C28</f>
        <v>LIQUIDACION. Quedan 2 unidades</v>
      </c>
      <c r="C51" s="27" t="str">
        <f>'.'!D28</f>
        <v>ASTROENERGY - BIFACIAL 144 CEL. N TYPE 585W - se vende por unidad. Se entrega en depo soldati u oficina DOT</v>
      </c>
      <c r="D51" s="28">
        <f>'.'!E28</f>
        <v>0.14</v>
      </c>
      <c r="E51" s="57"/>
      <c r="F51" s="58"/>
      <c r="G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</row>
    <row r="52" ht="23.25" customHeight="1">
      <c r="A52" s="25">
        <f>'.'!A29</f>
        <v>27</v>
      </c>
      <c r="B52" s="26" t="str">
        <f>'.'!C29</f>
        <v>INMEDIATO</v>
      </c>
      <c r="C52" s="27" t="str">
        <f>'.'!D29</f>
        <v>ASTROENERGY - 615w -N7_CHSM66RN(DG)F-BH dual glass - BIFACIAL. Se retira por depo Soldati </v>
      </c>
      <c r="D52" s="28">
        <f>'.'!F29</f>
        <v>0.2235772358</v>
      </c>
      <c r="E52" s="59" t="s">
        <v>20</v>
      </c>
      <c r="F52" s="58"/>
      <c r="G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</row>
    <row r="53" ht="23.25" customHeight="1">
      <c r="A53" s="25">
        <f>'.'!A30</f>
        <v>28</v>
      </c>
      <c r="B53" s="26" t="str">
        <f>'.'!C30</f>
        <v>SIN FECHA ESTIMADA</v>
      </c>
      <c r="C53" s="27" t="str">
        <f>'.'!D30</f>
        <v>AMERISOLAR- Policristalino 340w. Pallet 36 unidades. se vende pallet cerrado</v>
      </c>
      <c r="D53" s="28">
        <f>'.'!F30</f>
        <v>0.28336</v>
      </c>
      <c r="E53" s="60"/>
      <c r="F53" s="49"/>
      <c r="G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</row>
    <row r="54" ht="23.25" customHeight="1">
      <c r="A54" s="25">
        <f>'.'!A31</f>
        <v>29</v>
      </c>
      <c r="B54" s="26" t="str">
        <f>'.'!C31</f>
        <v>SIN FECHA ESTIMADA</v>
      </c>
      <c r="C54" s="27" t="str">
        <f>'.'!D31</f>
        <v>AMERISOLAR - MONOCRISTALINO AS-7M108N-HC-440W. se vende por unidad 32% mas caro. 36u x pallet -Entrega gratis en GBA.</v>
      </c>
      <c r="D54" s="28">
        <f>'.'!F31</f>
        <v>0.187</v>
      </c>
      <c r="E54" s="61" t="s">
        <v>20</v>
      </c>
      <c r="F54" s="49"/>
      <c r="G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</row>
    <row r="55" ht="23.25" customHeight="1">
      <c r="A55" s="25">
        <f>'.'!A32</f>
        <v>30</v>
      </c>
      <c r="B55" s="26" t="str">
        <f>'.'!C32</f>
        <v>SIN FECHA ESTIMADA</v>
      </c>
      <c r="C55" s="27" t="str">
        <f>'.'!D32</f>
        <v>AMERISOLAR - MONOCRISTALINO  AS-7M144-HC-555W. se vende por unidad 32% mas caro. -Entrega gratis en GBA.</v>
      </c>
      <c r="D55" s="28">
        <f>'.'!F32</f>
        <v>0.1668106</v>
      </c>
      <c r="E55" s="54" t="s">
        <v>20</v>
      </c>
      <c r="F55" s="56"/>
      <c r="G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</row>
    <row r="56" ht="23.25" customHeight="1">
      <c r="A56" s="25">
        <f>'.'!A33</f>
        <v>31</v>
      </c>
      <c r="B56" s="26" t="str">
        <f>'.'!C33</f>
        <v>INMEDIATO. Se vende por unidad</v>
      </c>
      <c r="C56" s="27" t="str">
        <f>'.'!D33</f>
        <v>AMERISOLAR - MONOCRISTALINO  AS-7M144-HC-580W. precio pallet cerrado. Entrega gratis en GBA. Por unidad 30% mas caro</v>
      </c>
      <c r="D56" s="28">
        <f>'.'!F33</f>
        <v>0.158592181</v>
      </c>
      <c r="E56" s="61" t="s">
        <v>20</v>
      </c>
      <c r="F56" s="38"/>
      <c r="G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</row>
    <row r="57" ht="23.25" customHeight="1">
      <c r="A57" s="25">
        <f>'.'!A34</f>
        <v>32</v>
      </c>
      <c r="B57" s="26" t="str">
        <f>'.'!C34</f>
        <v>SIN FECHA ESTIMADA</v>
      </c>
      <c r="C57" s="27" t="str">
        <f>'.'!D34</f>
        <v>AMERISOLAR - MONOCRISTALINO AS-8M120-HC-600W. se vende por unidad 30% mas caro. </v>
      </c>
      <c r="D57" s="28">
        <f>'.'!F34</f>
        <v>0.14</v>
      </c>
      <c r="E57" s="60"/>
      <c r="F57" s="49"/>
      <c r="G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</row>
    <row r="58" ht="23.25" customHeight="1">
      <c r="A58" s="25">
        <f>'.'!A35</f>
        <v>33</v>
      </c>
      <c r="B58" s="34" t="str">
        <f>'.'!C35</f>
        <v>INMEDIATO. Quedan 28 unidades se venden juntas</v>
      </c>
      <c r="C58" s="35" t="str">
        <f>'.'!D35</f>
        <v>SUNPRO - Monoc, TOPCON,  SPDG585-N144M10-585W con Marco Negro. BIFACIAL. se venden las 28 unidades juntas</v>
      </c>
      <c r="D58" s="28">
        <f>'.'!F35</f>
        <v>0.1595</v>
      </c>
      <c r="E58" s="61" t="s">
        <v>20</v>
      </c>
      <c r="F58" s="49"/>
      <c r="G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</row>
    <row r="59" ht="23.25" customHeight="1">
      <c r="A59" s="25">
        <f>'.'!A36</f>
        <v>34</v>
      </c>
      <c r="B59" s="26" t="str">
        <f>'.'!C36</f>
        <v>INMEDIATO</v>
      </c>
      <c r="C59" s="27" t="str">
        <f>'.'!D36</f>
        <v>HAITAI - Monocristalino, media celda,  Anti LID HTM585DMH5-72NT-585W. Pallet 36 unidades.  se vende por unidad 32% mas caro.</v>
      </c>
      <c r="D59" s="28">
        <f>'.'!F36</f>
        <v>0.1750419658</v>
      </c>
      <c r="E59" s="61" t="s">
        <v>20</v>
      </c>
      <c r="F59" s="49"/>
      <c r="G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</row>
    <row r="60" ht="23.25" customHeight="1">
      <c r="A60" s="25">
        <f>'.'!A37</f>
        <v>35</v>
      </c>
      <c r="B60" s="26" t="str">
        <f>'.'!C37</f>
        <v>INGRESA ABRIL</v>
      </c>
      <c r="C60" s="27" t="str">
        <f>'.'!D37</f>
        <v>HAITAI - Monocristalino, media celda, HTM415MH5-54 415W. Pallet 36 unidades.  se vende por unidad 32% mas caro.</v>
      </c>
      <c r="D60" s="28">
        <f>'.'!F37</f>
        <v>0.1495</v>
      </c>
      <c r="E60" s="54" t="s">
        <v>20</v>
      </c>
      <c r="F60" s="49"/>
      <c r="G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</row>
    <row r="61" ht="23.25" customHeight="1">
      <c r="A61" s="25">
        <f>'.'!A38</f>
        <v>36</v>
      </c>
      <c r="B61" s="26" t="str">
        <f>'.'!C38</f>
        <v>INMEDIATO</v>
      </c>
      <c r="C61" s="27" t="str">
        <f>'.'!D38</f>
        <v>HAITAI, Monocristalino, media celda, Anti LID, Bifacial, HTM630DMH6-66NT BIFACIAL 630W. Pallet 36 unidades.se vende por unidad 32% mas caro</v>
      </c>
      <c r="D61" s="28">
        <f>'.'!F38</f>
        <v>0.1826</v>
      </c>
      <c r="E61" s="62" t="s">
        <v>20</v>
      </c>
      <c r="F61" s="49"/>
      <c r="G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</row>
    <row r="62" ht="23.25" customHeight="1">
      <c r="A62" s="25">
        <f>'.'!A39</f>
        <v>37</v>
      </c>
      <c r="B62" s="26" t="str">
        <f>'.'!C39</f>
        <v>INMEDIATO</v>
      </c>
      <c r="C62" s="27" t="str">
        <f>'.'!D39</f>
        <v>TLC - Anti LID TCL-MI585 DH182-72NT 585W BIFACIAL. Pallet 36 unidades.  se vende por unidad 32% mas caro</v>
      </c>
      <c r="D62" s="28">
        <f>'.'!F39</f>
        <v>0.1626448718</v>
      </c>
      <c r="E62" s="62" t="s">
        <v>20</v>
      </c>
      <c r="F62" s="49"/>
      <c r="G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</row>
    <row r="63" ht="23.25" customHeight="1">
      <c r="A63" s="25">
        <f>'.'!A40</f>
        <v>38</v>
      </c>
      <c r="B63" s="26" t="str">
        <f>'.'!C40</f>
        <v>INMEDIATO</v>
      </c>
      <c r="C63" s="27" t="str">
        <f>'.'!D40</f>
        <v>NUUKO - monof 550w (pallet 31 u) - se vende minimo 10 u</v>
      </c>
      <c r="D63" s="63">
        <v>0.161</v>
      </c>
      <c r="E63" s="62" t="s">
        <v>20</v>
      </c>
      <c r="F63" s="49"/>
      <c r="G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</row>
    <row r="64" ht="23.25" customHeight="1">
      <c r="A64" s="25">
        <f>'.'!A41</f>
        <v>39</v>
      </c>
      <c r="B64" s="26" t="str">
        <f>'.'!C41</f>
        <v>INMEDIATO</v>
      </c>
      <c r="C64" s="27" t="str">
        <f>'.'!D41</f>
        <v>NUUKO - bif 615w topcon (pallet 36 u) - se vende minimo 10 u</v>
      </c>
      <c r="D64" s="63">
        <v>0.169</v>
      </c>
      <c r="E64" s="62" t="s">
        <v>20</v>
      </c>
      <c r="F64" s="49"/>
      <c r="G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</row>
    <row r="65">
      <c r="A65" s="64" t="s">
        <v>21</v>
      </c>
      <c r="B65" s="15"/>
      <c r="C65" s="15"/>
      <c r="D65" s="15"/>
      <c r="E65" s="65"/>
    </row>
    <row r="66">
      <c r="A66" s="25" t="str">
        <f>'.'!A43</f>
        <v>39-1</v>
      </c>
      <c r="B66" s="26" t="str">
        <f>'.'!C43</f>
        <v>INMEDIATO</v>
      </c>
      <c r="C66" s="27" t="str">
        <f>'.'!D43</f>
        <v>Inversor On-Grid SunGrow Trifasico 15 KW </v>
      </c>
      <c r="D66" s="63">
        <f>'.'!F43</f>
        <v>1297.8336</v>
      </c>
      <c r="E66" s="66"/>
      <c r="F66" s="41"/>
      <c r="G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</row>
    <row r="67">
      <c r="A67" s="25" t="str">
        <f>'.'!A44</f>
        <v>39-2</v>
      </c>
      <c r="B67" s="26" t="str">
        <f>'.'!C44</f>
        <v>INMEDIATO</v>
      </c>
      <c r="C67" s="27" t="str">
        <f>'.'!D44</f>
        <v>Inversor On-Grid SunGrow Trifasico 20 KW </v>
      </c>
      <c r="D67" s="63">
        <f>'.'!F44</f>
        <v>1433.993</v>
      </c>
      <c r="E67" s="66"/>
      <c r="F67" s="41"/>
      <c r="G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</row>
    <row r="68">
      <c r="A68" s="25" t="str">
        <f>'.'!A45</f>
        <v>39-3</v>
      </c>
      <c r="B68" s="26" t="str">
        <f>'.'!C45</f>
        <v>INMEDIATO</v>
      </c>
      <c r="C68" s="27" t="str">
        <f>'.'!D45</f>
        <v>Inversor On-Grid SunGrow Trifasico 25 KW </v>
      </c>
      <c r="D68" s="63">
        <f>'.'!F45</f>
        <v>1779.206</v>
      </c>
      <c r="E68" s="66"/>
      <c r="F68" s="41"/>
      <c r="G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</row>
    <row r="69">
      <c r="A69" s="25" t="str">
        <f>'.'!A46</f>
        <v>39-4</v>
      </c>
      <c r="B69" s="26" t="str">
        <f>'.'!C46</f>
        <v>INMEDIATO</v>
      </c>
      <c r="C69" s="27" t="str">
        <f>'.'!D46</f>
        <v>Inversor On-Grid SunGrow Trifasico 30 KW </v>
      </c>
      <c r="D69" s="63">
        <f>'.'!F46</f>
        <v>2044.768</v>
      </c>
      <c r="E69" s="66"/>
      <c r="F69" s="41"/>
      <c r="G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</row>
    <row r="70">
      <c r="A70" s="25" t="str">
        <f>'.'!A47</f>
        <v>39-5</v>
      </c>
      <c r="B70" s="26" t="str">
        <f>'.'!C47</f>
        <v>INMEDIATO</v>
      </c>
      <c r="C70" s="27" t="str">
        <f>'.'!D47</f>
        <v>Inversor On-Grid SunGrow Trifasico 40 KW </v>
      </c>
      <c r="D70" s="63">
        <f>'.'!F47</f>
        <v>2400.607</v>
      </c>
      <c r="E70" s="66"/>
      <c r="F70" s="41"/>
      <c r="G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</row>
    <row r="71">
      <c r="A71" s="25" t="str">
        <f>'.'!A48</f>
        <v>39-6</v>
      </c>
      <c r="B71" s="26" t="str">
        <f>'.'!C48</f>
        <v>INMEDIATO</v>
      </c>
      <c r="C71" s="27" t="str">
        <f>'.'!D48</f>
        <v>Inversor On-Grid SunGrow Trifasico 50 KW </v>
      </c>
      <c r="D71" s="63">
        <f>'.'!F48</f>
        <v>2798.4544</v>
      </c>
      <c r="E71" s="66"/>
      <c r="F71" s="41"/>
      <c r="G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</row>
    <row r="72">
      <c r="A72" s="25" t="str">
        <f>'.'!A49</f>
        <v>39-7</v>
      </c>
      <c r="B72" s="26" t="str">
        <f>'.'!C49</f>
        <v>INMEDIATO</v>
      </c>
      <c r="C72" s="27" t="str">
        <f>'.'!D49</f>
        <v>Inversor On-Grid SunGrow Trifasico 75 KW </v>
      </c>
      <c r="D72" s="63">
        <f>'.'!F49</f>
        <v>3823.975</v>
      </c>
      <c r="E72" s="66"/>
      <c r="F72" s="41"/>
      <c r="G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</row>
    <row r="73">
      <c r="A73" s="25" t="str">
        <f>'.'!A50</f>
        <v>39-8</v>
      </c>
      <c r="B73" s="26" t="str">
        <f>'.'!C50</f>
        <v>INMEDIATO</v>
      </c>
      <c r="C73" s="27" t="str">
        <f>'.'!D50</f>
        <v>Inversor On-Grid SunGrow Trifasico 110 KW </v>
      </c>
      <c r="D73" s="63">
        <f>'.'!F50</f>
        <v>5066.765</v>
      </c>
      <c r="E73" s="66"/>
      <c r="F73" s="41"/>
      <c r="G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</row>
    <row r="74">
      <c r="A74" s="25" t="str">
        <f>'.'!A51</f>
        <v>39-9</v>
      </c>
      <c r="B74" s="26" t="str">
        <f>'.'!C51</f>
        <v>INMEDIATO</v>
      </c>
      <c r="C74" s="27" t="str">
        <f>'.'!D51</f>
        <v>Inversor On-Grid SunGrow Trifasico 250 KW </v>
      </c>
      <c r="D74" s="63">
        <f>'.'!F51</f>
        <v>9942.328</v>
      </c>
      <c r="E74" s="66"/>
      <c r="F74" s="41"/>
      <c r="G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</row>
    <row r="75">
      <c r="A75" s="25" t="str">
        <f>'.'!A52</f>
        <v>39-10</v>
      </c>
      <c r="B75" s="26" t="str">
        <f>'.'!C52</f>
        <v>INMEDIATO</v>
      </c>
      <c r="C75" s="27" t="str">
        <f>'.'!D52</f>
        <v>Inversor On-Grid SunGrow Trifasico 333 KW </v>
      </c>
      <c r="D75" s="63">
        <f>'.'!F52</f>
        <v>12236.719</v>
      </c>
      <c r="E75" s="66"/>
      <c r="F75" s="41"/>
      <c r="G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</row>
    <row r="76">
      <c r="A76" s="64" t="s">
        <v>22</v>
      </c>
      <c r="B76" s="15"/>
      <c r="C76" s="15"/>
      <c r="D76" s="15"/>
      <c r="E76" s="65"/>
      <c r="F76" s="41"/>
      <c r="G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</row>
    <row r="77">
      <c r="A77" s="25">
        <f>'.'!A54</f>
        <v>40</v>
      </c>
      <c r="B77" s="26" t="str">
        <f>'.'!C54</f>
        <v>SIN FECHA ESTIMADA</v>
      </c>
      <c r="C77" s="27" t="str">
        <f>'.'!D54</f>
        <v>Inversor de inyección a red GOODWE 1500W Monof. (GW1500 - XS-30)</v>
      </c>
      <c r="D77" s="67">
        <f>'.'!F54</f>
        <v>186.3</v>
      </c>
      <c r="E77" s="32" t="s">
        <v>20</v>
      </c>
      <c r="F77" s="41"/>
      <c r="G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</row>
    <row r="78">
      <c r="A78" s="25">
        <f>'.'!A55</f>
        <v>41</v>
      </c>
      <c r="B78" s="26" t="str">
        <f>'.'!C55</f>
        <v>INMEDIATO </v>
      </c>
      <c r="C78" s="27" t="str">
        <f>'.'!D55</f>
        <v>IMicronversor de inyección a red GOODWE 2000w Monof. (GW2000-MIS)</v>
      </c>
      <c r="D78" s="67">
        <f>'.'!F55</f>
        <v>279.0625</v>
      </c>
      <c r="E78" s="32" t="s">
        <v>20</v>
      </c>
      <c r="F78" s="41"/>
      <c r="G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</row>
    <row r="79">
      <c r="A79" s="25">
        <f>'.'!A56</f>
        <v>42</v>
      </c>
      <c r="B79" s="26" t="str">
        <f>'.'!C56</f>
        <v>INMEDIATO </v>
      </c>
      <c r="C79" s="27" t="str">
        <f>'.'!D56</f>
        <v>Inversor de inyección a red GOODWE 3600W Monof. c/AFCI (GW3.6K-DNS-G40)</v>
      </c>
      <c r="D79" s="67">
        <f>'.'!F56</f>
        <v>401.375</v>
      </c>
      <c r="E79" s="32" t="s">
        <v>20</v>
      </c>
      <c r="F79" s="41"/>
      <c r="G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</row>
    <row r="80">
      <c r="A80" s="25">
        <f>'.'!A57</f>
        <v>43</v>
      </c>
      <c r="B80" s="26" t="str">
        <f>'.'!C57</f>
        <v>INMEDIATO. 5 a 10 dias habiles para despachar</v>
      </c>
      <c r="C80" s="27" t="str">
        <f>'.'!D57</f>
        <v>Inversor de inyección a red GOODWE 6000W Trif. c/AFCI </v>
      </c>
      <c r="D80" s="67">
        <f>'.'!F57</f>
        <v>610.88</v>
      </c>
      <c r="E80" s="32" t="s">
        <v>20</v>
      </c>
      <c r="F80" s="41"/>
      <c r="G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</row>
    <row r="81">
      <c r="A81" s="25">
        <f>'.'!A58</f>
        <v>44</v>
      </c>
      <c r="B81" s="26" t="str">
        <f>'.'!C58</f>
        <v>INMEDIATO. 5 a 10 dias habiles para despachar</v>
      </c>
      <c r="C81" s="27" t="str">
        <f>'.'!D58</f>
        <v>Inversor de inyección a red GOODWE 10kW Trif. (10K-SDT30) </v>
      </c>
      <c r="D81" s="67">
        <f>'.'!F58</f>
        <v>779.52</v>
      </c>
      <c r="E81" s="32" t="s">
        <v>20</v>
      </c>
      <c r="F81" s="41"/>
      <c r="G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</row>
    <row r="82">
      <c r="A82" s="25">
        <f>'.'!A59</f>
        <v>45</v>
      </c>
      <c r="B82" s="26" t="str">
        <f>'.'!C59</f>
        <v>SIN FECHA ESTIMADA</v>
      </c>
      <c r="C82" s="27" t="str">
        <f>'.'!D59</f>
        <v>Inversor de inyección a red GOODWE 12kW Trif. c/Wifi </v>
      </c>
      <c r="D82" s="67">
        <f>'.'!F59</f>
        <v>2168.274223</v>
      </c>
      <c r="E82" s="32" t="s">
        <v>20</v>
      </c>
      <c r="F82" s="41"/>
      <c r="G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</row>
    <row r="83">
      <c r="A83" s="25">
        <f>'.'!A60</f>
        <v>46</v>
      </c>
      <c r="B83" s="26" t="str">
        <f>'.'!C60</f>
        <v>INMEDIATO. 5 a 10 dias habiles para despachar</v>
      </c>
      <c r="C83" s="27" t="str">
        <f>'.'!D60</f>
        <v>Inversor de inyección a red GOODWE 15kW Trif.  (15K-SDT-30)</v>
      </c>
      <c r="D83" s="67">
        <f>'.'!F60</f>
        <v>860.16</v>
      </c>
      <c r="E83" s="32" t="s">
        <v>20</v>
      </c>
      <c r="F83" s="41"/>
      <c r="G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</row>
    <row r="84">
      <c r="A84" s="25">
        <f>'.'!A61</f>
        <v>47</v>
      </c>
      <c r="B84" s="26" t="str">
        <f>'.'!C61</f>
        <v>INMEDIATO. 5 a 10 dias habiles para despachar</v>
      </c>
      <c r="C84" s="27" t="str">
        <f>'.'!D61</f>
        <v>Inversor de inyección a red GOODWE 20kW Trif.(20K-SDT-30)</v>
      </c>
      <c r="D84" s="67">
        <f>'.'!F61</f>
        <v>987.84</v>
      </c>
      <c r="E84" s="32" t="s">
        <v>20</v>
      </c>
      <c r="F84" s="41"/>
      <c r="G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</row>
    <row r="85">
      <c r="A85" s="25">
        <f>'.'!A62</f>
        <v>48</v>
      </c>
      <c r="B85" s="26" t="str">
        <f>'.'!C62</f>
        <v>INMEDIATO. 5 a 10 dias habiles para despachar</v>
      </c>
      <c r="C85" s="27" t="str">
        <f>'.'!D62</f>
        <v>Inversor de inyección a red GOODWE 25kW Trif. c/AFCI (25K-SDT-C30-AFCI)</v>
      </c>
      <c r="D85" s="67">
        <f>'.'!F62</f>
        <v>1113.28</v>
      </c>
      <c r="E85" s="32" t="s">
        <v>20</v>
      </c>
      <c r="F85" s="41"/>
      <c r="G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</row>
    <row r="86">
      <c r="A86" s="25">
        <f>'.'!A63</f>
        <v>49</v>
      </c>
      <c r="B86" s="26" t="str">
        <f>'.'!C63</f>
        <v>INMEDIATO. 5 a 10 dias habiles para despachar</v>
      </c>
      <c r="C86" s="27" t="str">
        <f>'.'!D63</f>
        <v>Inversor de inyección a red GOODWE 30kW Trif. c/AFCI (30K-SDT-C30-AFCI)</v>
      </c>
      <c r="D86" s="67">
        <f>'.'!F63</f>
        <v>1227.52</v>
      </c>
      <c r="E86" s="32" t="s">
        <v>20</v>
      </c>
      <c r="F86" s="41"/>
      <c r="G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</row>
    <row r="87">
      <c r="A87" s="25">
        <f>'.'!A64</f>
        <v>50</v>
      </c>
      <c r="B87" s="26" t="str">
        <f>'.'!C64</f>
        <v>INMEDIATO. 5 a 10 dias habiles para despachar</v>
      </c>
      <c r="C87" s="27" t="str">
        <f>'.'!D64</f>
        <v>Inversor de inyección a red GOODWE 33kW Trif. c/AFCI (30K-SDT-C30-AFCI)</v>
      </c>
      <c r="D87" s="67">
        <f>'.'!F64</f>
        <v>1232</v>
      </c>
      <c r="E87" s="32" t="s">
        <v>20</v>
      </c>
      <c r="F87" s="41"/>
      <c r="G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</row>
    <row r="88">
      <c r="A88" s="25">
        <f>'.'!A65</f>
        <v>51</v>
      </c>
      <c r="B88" s="26" t="str">
        <f>'.'!C65</f>
        <v>INMEDIATO. 5 a 10 dias habiles para despachar</v>
      </c>
      <c r="C88" s="27" t="str">
        <f>'.'!D65</f>
        <v>Inversor de inyección a red GOODWE 36kW Trif. c/AFCI (30K-SDT-C30-AFCI)</v>
      </c>
      <c r="D88" s="67">
        <f>'.'!F65</f>
        <v>1276</v>
      </c>
      <c r="E88" s="32" t="s">
        <v>20</v>
      </c>
      <c r="F88" s="41"/>
      <c r="G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</row>
    <row r="89">
      <c r="A89" s="25">
        <f>'.'!A66</f>
        <v>52</v>
      </c>
      <c r="B89" s="26" t="str">
        <f>'.'!C66</f>
        <v>INMEDIATO. 5 a 10 dias habiles para despachar</v>
      </c>
      <c r="C89" s="27" t="str">
        <f>'.'!D66</f>
        <v>Inversor de inyección a red GOODWE 40kW Trif. c/AFCI (40K-SDT-C30-AFCI)</v>
      </c>
      <c r="D89" s="67">
        <f>'.'!F66</f>
        <v>1460.8</v>
      </c>
      <c r="E89" s="32" t="s">
        <v>20</v>
      </c>
      <c r="F89" s="41"/>
      <c r="G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</row>
    <row r="90">
      <c r="A90" s="25">
        <f>'.'!A67</f>
        <v>53</v>
      </c>
      <c r="B90" s="26" t="str">
        <f>'.'!C67</f>
        <v>INMEDIATO. 5 a 10 dias habiles para despachar</v>
      </c>
      <c r="C90" s="27" t="str">
        <f>'.'!D67</f>
        <v>Inversor de inyección a red GOODWE 30kW Trif. MT (30K-MT) </v>
      </c>
      <c r="D90" s="67">
        <f>'.'!F67</f>
        <v>1842.6</v>
      </c>
      <c r="E90" s="32" t="s">
        <v>20</v>
      </c>
      <c r="F90" s="41"/>
      <c r="G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</row>
    <row r="91">
      <c r="A91" s="25">
        <f>'.'!A68</f>
        <v>54</v>
      </c>
      <c r="B91" s="26" t="str">
        <f>'.'!C68</f>
        <v>SIN FECHA ESTIMADA</v>
      </c>
      <c r="C91" s="27" t="str">
        <f>'.'!D68</f>
        <v>Inversor de inyección a red GOODWE 50kW Trif. AFCI</v>
      </c>
      <c r="D91" s="67">
        <f>'.'!F68</f>
        <v>1634.6</v>
      </c>
      <c r="E91" s="32" t="s">
        <v>20</v>
      </c>
      <c r="F91" s="41"/>
      <c r="G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</row>
    <row r="92">
      <c r="A92" s="25">
        <f>'.'!A69</f>
        <v>55</v>
      </c>
      <c r="B92" s="26" t="str">
        <f>'.'!C69</f>
        <v>INMEDIATO. 5 a 10 dias habiles para despachar</v>
      </c>
      <c r="C92" s="27" t="str">
        <f>'.'!D69</f>
        <v>Inversor de inyección a red GOODWE 60kW Trif. AFCI (GW 60KS-MT-AFCI)</v>
      </c>
      <c r="D92" s="67">
        <f>'.'!F69</f>
        <v>2421.9</v>
      </c>
      <c r="E92" s="32" t="s">
        <v>20</v>
      </c>
      <c r="F92" s="41"/>
      <c r="G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</row>
    <row r="93">
      <c r="A93" s="25">
        <f>'.'!A70</f>
        <v>56</v>
      </c>
      <c r="B93" s="26" t="str">
        <f>'.'!C70</f>
        <v>INMEDIATO. 5 a 10 dias habiles para despachar</v>
      </c>
      <c r="C93" s="27" t="str">
        <f>'.'!D70</f>
        <v>Inversor de inyección a red GOODWE 80kW Trif. c/ AFCI (GW80K-SMT-AFCI)</v>
      </c>
      <c r="D93" s="67">
        <f>'.'!F70</f>
        <v>2442</v>
      </c>
      <c r="E93" s="32" t="s">
        <v>20</v>
      </c>
      <c r="F93" s="41"/>
      <c r="G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</row>
    <row r="94">
      <c r="A94" s="25">
        <f>'.'!A71</f>
        <v>57</v>
      </c>
      <c r="B94" s="26" t="str">
        <f>'.'!C71</f>
        <v>INMEDIATO. 5 a 10 dias habiles para despachar</v>
      </c>
      <c r="C94" s="27" t="str">
        <f>'.'!D71</f>
        <v>Inversor de inyección a red GOODWE 100kW Trif. (GW100K GT). Se entrega en transporte en Rosario</v>
      </c>
      <c r="D94" s="67">
        <f>'.'!F71</f>
        <v>3847.8</v>
      </c>
      <c r="E94" s="32" t="s">
        <v>20</v>
      </c>
      <c r="F94" s="41"/>
      <c r="G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</row>
    <row r="95">
      <c r="A95" s="25">
        <f>'.'!A72</f>
        <v>58</v>
      </c>
      <c r="B95" s="26" t="str">
        <f>'.'!C72</f>
        <v>INMEDIATO. 5 a 10 dias habiles para despachar</v>
      </c>
      <c r="C95" s="27" t="str">
        <f>'.'!D72</f>
        <v>Inversor de inyección a red GOODWE 110kW Trif. C/AFCI</v>
      </c>
      <c r="D95" s="67">
        <f>'.'!F72</f>
        <v>3907.2</v>
      </c>
      <c r="E95" s="32" t="s">
        <v>20</v>
      </c>
      <c r="F95" s="41"/>
      <c r="G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</row>
    <row r="96">
      <c r="A96" s="25">
        <f>'.'!A73</f>
        <v>59</v>
      </c>
      <c r="B96" s="26" t="str">
        <f>'.'!C73</f>
        <v>INMEDIATO. 5 a 10 dias habiles para despachar</v>
      </c>
      <c r="C96" s="27" t="str">
        <f>'.'!D73</f>
        <v>Inversor de inyección a red GOODWE 100KW Trifasico AFCI</v>
      </c>
      <c r="D96" s="67">
        <f>'.'!F73</f>
        <v>4040.96</v>
      </c>
      <c r="E96" s="33"/>
      <c r="F96" s="41"/>
      <c r="G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</row>
    <row r="97">
      <c r="A97" s="25">
        <f>'.'!A74</f>
        <v>60</v>
      </c>
      <c r="B97" s="26" t="str">
        <f>'.'!C74</f>
        <v>INMEDIATO. 5 a 10 dias habiles para despachar</v>
      </c>
      <c r="C97" s="27" t="str">
        <f>'.'!D74</f>
        <v>Inversor de inyección a red GOODWE 50kW  GW50K-SDT-C30</v>
      </c>
      <c r="D97" s="67">
        <v>2365.0</v>
      </c>
      <c r="E97" s="66"/>
      <c r="F97" s="41"/>
      <c r="G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</row>
    <row r="98">
      <c r="A98" s="25">
        <f>'.'!A75</f>
        <v>61</v>
      </c>
      <c r="B98" s="26" t="str">
        <f>'.'!C75</f>
        <v>INMEDIATO. 5 a 10 dias habiles para despachar</v>
      </c>
      <c r="C98" s="27" t="str">
        <f>'.'!D75</f>
        <v>Inversor de inyección a red GOODWE 125KW Trifasico. (GW100K GT). Se entrega en transporte en Rosario</v>
      </c>
      <c r="D98" s="67">
        <f>'.'!F75</f>
        <v>4374.72</v>
      </c>
      <c r="E98" s="66"/>
      <c r="F98" s="41"/>
      <c r="G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</row>
    <row r="99">
      <c r="A99" s="25">
        <f>'.'!A76</f>
        <v>62</v>
      </c>
      <c r="B99" s="26" t="str">
        <f>'.'!C76</f>
        <v>INMEDIATO. 5 a 10 dias habiles para despachar</v>
      </c>
      <c r="C99" s="27" t="str">
        <f>'.'!D76</f>
        <v>Smart meter GMK110 monofasico</v>
      </c>
      <c r="D99" s="67">
        <f>'.'!F76</f>
        <v>195.125</v>
      </c>
      <c r="E99" s="66"/>
      <c r="F99" s="41"/>
      <c r="G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</row>
    <row r="100">
      <c r="A100" s="25">
        <f>'.'!A77</f>
        <v>63</v>
      </c>
      <c r="B100" s="26" t="str">
        <f>'.'!C77</f>
        <v>INMEDIATO. 5 a 10 dias habiles para despachar</v>
      </c>
      <c r="C100" s="27" t="str">
        <f>'.'!D77</f>
        <v>Smart meter GMK330 trifasico </v>
      </c>
      <c r="D100" s="67">
        <f>'.'!F77</f>
        <v>379.5</v>
      </c>
      <c r="E100" s="66"/>
      <c r="F100" s="41"/>
      <c r="G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</row>
    <row r="101">
      <c r="A101" s="68" t="s">
        <v>23</v>
      </c>
      <c r="B101" s="15"/>
      <c r="C101" s="15"/>
      <c r="D101" s="15"/>
      <c r="E101" s="65"/>
    </row>
    <row r="102">
      <c r="A102" s="25">
        <f>'.'!A79</f>
        <v>64</v>
      </c>
      <c r="B102" s="26" t="str">
        <f>'.'!C79</f>
        <v>INMEDIATO</v>
      </c>
      <c r="C102" s="27" t="str">
        <f>'.'!D79</f>
        <v>INVERSOR TRIFASICO HUAWEI SUN2000-40KTL-M3</v>
      </c>
      <c r="D102" s="69">
        <f>'.'!F79</f>
        <v>2711.83</v>
      </c>
      <c r="E102" s="70"/>
    </row>
    <row r="103">
      <c r="A103" s="25">
        <f>'.'!A80</f>
        <v>65</v>
      </c>
      <c r="B103" s="26" t="str">
        <f>'.'!C80</f>
        <v>INMEDIATO</v>
      </c>
      <c r="C103" s="27" t="str">
        <f>'.'!D80</f>
        <v>INVERSOR TRIFASICO HUAWEI SUN2000-50KTL-M3</v>
      </c>
      <c r="D103" s="69">
        <f>'.'!F80</f>
        <v>2937.979</v>
      </c>
      <c r="E103" s="71"/>
    </row>
    <row r="104">
      <c r="A104" s="25">
        <f>'.'!A81</f>
        <v>66</v>
      </c>
      <c r="B104" s="26" t="str">
        <f>'.'!C81</f>
        <v>INMEDIATO</v>
      </c>
      <c r="C104" s="27" t="str">
        <f>'.'!D81</f>
        <v>INVERSOR TRIFASICO HUAWEI SUN2000-100KTL M2-</v>
      </c>
      <c r="D104" s="69">
        <f>'.'!F81</f>
        <v>5645.893</v>
      </c>
      <c r="E104" s="72" t="s">
        <v>20</v>
      </c>
    </row>
    <row r="105">
      <c r="A105" s="25">
        <f>'.'!A82</f>
        <v>67</v>
      </c>
      <c r="B105" s="26" t="str">
        <f>'.'!C82</f>
        <v>INMEDIATO</v>
      </c>
      <c r="C105" s="27" t="str">
        <f>'.'!D82</f>
        <v>INVERSOR TRIFASICO HUAWEI SUN2000-150K-MG0 - </v>
      </c>
      <c r="D105" s="69">
        <f>'.'!F82</f>
        <v>6325</v>
      </c>
      <c r="E105" s="72" t="s">
        <v>20</v>
      </c>
    </row>
    <row r="106">
      <c r="A106" s="25">
        <f>'.'!A83</f>
        <v>68</v>
      </c>
      <c r="B106" s="26" t="str">
        <f>'.'!C83</f>
        <v>INMEDIATO</v>
      </c>
      <c r="C106" s="27" t="str">
        <f>'.'!D83</f>
        <v>INVERSOR TRIFASICO 6MPPT 800V 330KW HUAWEI</v>
      </c>
      <c r="D106" s="69">
        <f>'.'!F83</f>
        <v>9898.9</v>
      </c>
      <c r="E106" s="71"/>
    </row>
    <row r="107">
      <c r="A107" s="25">
        <f>'.'!A84</f>
        <v>69</v>
      </c>
      <c r="B107" s="26" t="str">
        <f>'.'!C84</f>
        <v>INMEDIATO</v>
      </c>
      <c r="C107" s="27" t="str">
        <f>'.'!D84</f>
        <v>Huawei SmartPS-250A-T0 - Smart Power Sensor</v>
      </c>
      <c r="D107" s="69">
        <f>'.'!F84</f>
        <v>173.7</v>
      </c>
      <c r="E107" s="70"/>
    </row>
    <row r="108">
      <c r="A108" s="25">
        <f>'.'!A85</f>
        <v>70</v>
      </c>
      <c r="B108" s="26" t="str">
        <f>'.'!C85</f>
        <v>INMEDIATO</v>
      </c>
      <c r="C108" s="27" t="str">
        <f>'.'!D85</f>
        <v>Huawei SDongleA-05</v>
      </c>
      <c r="D108" s="69">
        <f>'.'!F85</f>
        <v>62.1</v>
      </c>
      <c r="E108" s="70"/>
    </row>
    <row r="109">
      <c r="A109" s="25">
        <f>'.'!A86</f>
        <v>71</v>
      </c>
      <c r="B109" s="26" t="str">
        <f>'.'!C86</f>
        <v>INMEDIATO</v>
      </c>
      <c r="C109" s="27" t="str">
        <f>'.'!D86</f>
        <v>DongleB-06-AU - Dongle 4G</v>
      </c>
      <c r="D109" s="69">
        <f>'.'!F86</f>
        <v>152.1</v>
      </c>
      <c r="E109" s="70"/>
    </row>
    <row r="110">
      <c r="A110" s="68" t="s">
        <v>24</v>
      </c>
      <c r="B110" s="15"/>
      <c r="C110" s="15"/>
      <c r="D110" s="15"/>
      <c r="E110" s="65"/>
    </row>
    <row r="111">
      <c r="A111" s="25">
        <f>'.'!A88</f>
        <v>72</v>
      </c>
      <c r="B111" s="26" t="str">
        <f>'.'!C88</f>
        <v>SIN FECHA ESTIMADA</v>
      </c>
      <c r="C111" s="27" t="str">
        <f>'.'!D88</f>
        <v>INVERSOR OFF GRID - AXPERT VM 2KW</v>
      </c>
      <c r="D111" s="69">
        <f>'.'!F88</f>
        <v>520.24</v>
      </c>
      <c r="E111" s="70"/>
    </row>
    <row r="112">
      <c r="A112" s="25">
        <f>'.'!A89</f>
        <v>73</v>
      </c>
      <c r="B112" s="26" t="str">
        <f>'.'!C89</f>
        <v>SIN FECHA ESTIMADA</v>
      </c>
      <c r="C112" s="27" t="str">
        <f>'.'!D89</f>
        <v>VOLTRONIC AXPERT VM 1kW </v>
      </c>
      <c r="D112" s="69">
        <f>'.'!F89</f>
        <v>322</v>
      </c>
      <c r="E112" s="70"/>
    </row>
    <row r="113">
      <c r="A113" s="25">
        <f>'.'!A90</f>
        <v>74</v>
      </c>
      <c r="B113" s="26" t="str">
        <f>'.'!C90</f>
        <v>SIN FECHA ESTIMADA</v>
      </c>
      <c r="C113" s="27" t="str">
        <f>'.'!D90</f>
        <v>VOLTRONIC AXPERT VP 3kW (24V ‐ PWM.)</v>
      </c>
      <c r="D113" s="69">
        <f>'.'!F90</f>
        <v>594.0864</v>
      </c>
      <c r="E113" s="70"/>
    </row>
    <row r="114">
      <c r="A114" s="25">
        <f>'.'!A91</f>
        <v>75</v>
      </c>
      <c r="B114" s="26" t="str">
        <f>'.'!C91</f>
        <v>SIN FECHA ESTIMADA</v>
      </c>
      <c r="C114" s="27" t="str">
        <f>'.'!D91</f>
        <v>VOLTRONIC AXPERT VMIII 3kW (24V. Alta tensión de paneles. MPPT. Modo SUB.)</v>
      </c>
      <c r="D114" s="69">
        <f>'.'!F91</f>
        <v>703.2</v>
      </c>
      <c r="E114" s="70"/>
    </row>
    <row r="115">
      <c r="A115" s="25">
        <f>'.'!A92</f>
        <v>76</v>
      </c>
      <c r="B115" s="26" t="str">
        <f>'.'!C92</f>
        <v>SIN FECHA ESTIMADA</v>
      </c>
      <c r="C115" s="27" t="str">
        <f>'.'!D92</f>
        <v>VOLTRONIC AXPERT VMIV 5,6kW (48V. Alta tensión de paneles. MPPT. Modo SUB.)</v>
      </c>
      <c r="D115" s="69">
        <f>'.'!F92</f>
        <v>957.6</v>
      </c>
      <c r="E115" s="70"/>
    </row>
    <row r="116">
      <c r="A116" s="25">
        <f>'.'!A93</f>
        <v>77</v>
      </c>
      <c r="B116" s="26" t="str">
        <f>'.'!C93</f>
        <v>INMEDIATO</v>
      </c>
      <c r="C116" s="27" t="str">
        <f>'.'!D93</f>
        <v>VOLTRONIC AXPERT MAX 7,2kW (48V. Alta tensión de paneles. 2xMPPT. Modo SUB.)</v>
      </c>
      <c r="D116" s="69">
        <v>900.0</v>
      </c>
      <c r="E116" s="70"/>
    </row>
    <row r="117">
      <c r="A117" s="25">
        <f>'.'!A94</f>
        <v>78</v>
      </c>
      <c r="B117" s="26" t="str">
        <f>'.'!C94</f>
        <v>INMEDIATO</v>
      </c>
      <c r="C117" s="27" t="str">
        <f>'.'!D94</f>
        <v>Módulo WiFi para Axpert VMIII</v>
      </c>
      <c r="D117" s="69">
        <v>90.0</v>
      </c>
      <c r="E117" s="70"/>
    </row>
    <row r="118">
      <c r="A118" s="68" t="s">
        <v>25</v>
      </c>
      <c r="B118" s="15"/>
      <c r="C118" s="15"/>
      <c r="D118" s="15"/>
      <c r="E118" s="65"/>
    </row>
    <row r="119">
      <c r="A119" s="25">
        <f>'.'!A96</f>
        <v>79</v>
      </c>
      <c r="B119" s="26" t="str">
        <f>'.'!C96</f>
        <v>INMEDIATO</v>
      </c>
      <c r="C119" s="27" t="str">
        <f>'.'!D96</f>
        <v>Microinversor 1000W 2MPPT Mono c/Wifi DEYE (SUN-M100G4-EU-Q0)</v>
      </c>
      <c r="D119" s="73">
        <f>'.'!F96</f>
        <v>269.5</v>
      </c>
      <c r="E119" s="74" t="s">
        <v>20</v>
      </c>
      <c r="F119" s="49"/>
      <c r="G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</row>
    <row r="120">
      <c r="A120" s="25" t="str">
        <f>'.'!A97</f>
        <v>79-1</v>
      </c>
      <c r="B120" s="26" t="str">
        <f>'.'!C97</f>
        <v>INGRESA MAYO</v>
      </c>
      <c r="C120" s="27" t="str">
        <f>'.'!D97</f>
        <v>Microinversor 2250W 4MPPT Mono c/Wifi c/ Zero Export DEYE (SUN-M225G4-EU-Q0-I)</v>
      </c>
      <c r="D120" s="73">
        <f>'.'!F97</f>
        <v>365</v>
      </c>
      <c r="E120" s="75"/>
    </row>
    <row r="121">
      <c r="A121" s="25">
        <f>'.'!A98</f>
        <v>80</v>
      </c>
      <c r="B121" s="26" t="str">
        <f>'.'!C98</f>
        <v>INMEDIATO</v>
      </c>
      <c r="C121" s="27" t="str">
        <f>'.'!D98</f>
        <v>On Grid 3KVA 1MPPT Mono c/CT y Wifi DEYE  (SUN-3K-G04LP1-EU-AM1)</v>
      </c>
      <c r="D121" s="73">
        <f>'.'!F98</f>
        <v>365</v>
      </c>
      <c r="E121" s="32" t="s">
        <v>20</v>
      </c>
    </row>
    <row r="122">
      <c r="A122" s="25" t="str">
        <f>'.'!A99</f>
        <v>80-1</v>
      </c>
      <c r="B122" s="26" t="str">
        <f>'.'!C99</f>
        <v>INMEDIATO</v>
      </c>
      <c r="C122" s="27" t="str">
        <f>'.'!D99</f>
        <v>On Grid 5kW 2MPPT Mono c/CT y WiFi DEYE (SUN-5K-G05LP1-EU-AM2)</v>
      </c>
      <c r="D122" s="73">
        <f>'.'!F99</f>
        <v>525</v>
      </c>
      <c r="E122" s="76"/>
    </row>
    <row r="123">
      <c r="A123" s="25">
        <f>'.'!A100</f>
        <v>81</v>
      </c>
      <c r="B123" s="26" t="str">
        <f>'.'!C100</f>
        <v>INMEDIATO</v>
      </c>
      <c r="C123" s="27" t="str">
        <f>'.'!D100</f>
        <v>On Grid 6KVA 2MPPT Mono con meter c/ WiFi DEYE  (SUN-6K-G05LP1-EU-AM2)</v>
      </c>
      <c r="D123" s="73">
        <f>'.'!F100</f>
        <v>805</v>
      </c>
      <c r="E123" s="77" t="s">
        <v>20</v>
      </c>
      <c r="F123" s="41"/>
      <c r="G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</row>
    <row r="124">
      <c r="A124" s="25">
        <f>'.'!A101</f>
        <v>82</v>
      </c>
      <c r="B124" s="26" t="str">
        <f>'.'!C101</f>
        <v>INMEDIATO</v>
      </c>
      <c r="C124" s="27" t="str">
        <f>'.'!D101</f>
        <v>On Grid 6kW 2MPPT Trif c/WiFi s/Meter DEYE(SUN-6K-G06P3-EU-AM2-P1)</v>
      </c>
      <c r="D124" s="73">
        <f>'.'!F101</f>
        <v>568.4</v>
      </c>
      <c r="E124" s="32" t="s">
        <v>20</v>
      </c>
    </row>
    <row r="125">
      <c r="A125" s="25">
        <f>'.'!A102</f>
        <v>83</v>
      </c>
      <c r="B125" s="26" t="str">
        <f>'.'!C102</f>
        <v>INGRESA JULIO</v>
      </c>
      <c r="C125" s="27" t="str">
        <f>'.'!D102</f>
        <v>On Grid 10KVA 2MPPT Trif SIN Meter y WiFi DEYE (SUN-10K-G06P3-EU-BM2-P1)</v>
      </c>
      <c r="D125" s="73">
        <f>'.'!F102</f>
        <v>597.8</v>
      </c>
      <c r="E125" s="32" t="s">
        <v>20</v>
      </c>
    </row>
    <row r="126">
      <c r="A126" s="25">
        <f>'.'!A103</f>
        <v>84</v>
      </c>
      <c r="B126" s="26" t="str">
        <f>'.'!C103</f>
        <v>INMEDIATO</v>
      </c>
      <c r="C126" s="27" t="str">
        <f>'.'!D103</f>
        <v>On Grid 15KVA 2MPPT Trif SIN Meter y WiFi DEYE  (SUN-15K-G06P3-EU-AM2-P1)</v>
      </c>
      <c r="D126" s="73">
        <f>'.'!F103</f>
        <v>882</v>
      </c>
      <c r="E126" s="32" t="s">
        <v>20</v>
      </c>
    </row>
    <row r="127">
      <c r="A127" s="25">
        <f>'.'!A104</f>
        <v>85</v>
      </c>
      <c r="B127" s="26" t="str">
        <f>'.'!C104</f>
        <v>INMEDIATO</v>
      </c>
      <c r="C127" s="27" t="str">
        <f>'.'!D104</f>
        <v>On Grid 20KVA 2MPPT Trif SIN Meter y WiFi DEYE  (SUN-20K-G05) </v>
      </c>
      <c r="D127" s="73">
        <f>'.'!F104</f>
        <v>980</v>
      </c>
      <c r="E127" s="32" t="s">
        <v>20</v>
      </c>
    </row>
    <row r="128">
      <c r="A128" s="25">
        <f>'.'!A105</f>
        <v>86</v>
      </c>
      <c r="B128" s="26" t="str">
        <f>'.'!C105</f>
        <v>INMEDIATO. JULIO MAS BARATO</v>
      </c>
      <c r="C128" s="27" t="str">
        <f>'.'!D105</f>
        <v>On Grid 30KVA 2MPPT Trif SIN Meter y WiFi DEYE  (SUN-30K-G04)</v>
      </c>
      <c r="D128" s="73">
        <v>1803.0</v>
      </c>
      <c r="E128" s="78"/>
      <c r="F128" s="41"/>
      <c r="G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</row>
    <row r="129">
      <c r="A129" s="25">
        <f>'.'!A106</f>
        <v>87</v>
      </c>
      <c r="B129" s="26" t="str">
        <f>'.'!C106</f>
        <v>SIN FECHA ESTIMADA</v>
      </c>
      <c r="C129" s="27" t="str">
        <f>'.'!D106</f>
        <v>On Grid 40KVA Trif SIN Meter y WiFi DEYE  (SUN-40K-G03)</v>
      </c>
      <c r="D129" s="73">
        <f>'.'!F106</f>
        <v>1518.96</v>
      </c>
      <c r="E129" s="33"/>
      <c r="F129" s="49"/>
      <c r="G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</row>
    <row r="130">
      <c r="A130" s="25">
        <f>'.'!A107</f>
        <v>88</v>
      </c>
      <c r="B130" s="26" t="str">
        <f>'.'!C107</f>
        <v>INMEDIATO</v>
      </c>
      <c r="C130" s="27" t="str">
        <f>'.'!D107</f>
        <v>On Grid 50kW 4MPPT  DEYE (SUN-50K-G04)</v>
      </c>
      <c r="D130" s="73">
        <f>'.'!F107</f>
        <v>2352</v>
      </c>
      <c r="E130" s="32" t="s">
        <v>20</v>
      </c>
      <c r="F130" s="49"/>
      <c r="G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</row>
    <row r="131">
      <c r="A131" s="25">
        <f>'.'!A108</f>
        <v>89</v>
      </c>
      <c r="B131" s="26" t="str">
        <f>'.'!C108</f>
        <v>INMEDIATO</v>
      </c>
      <c r="C131" s="27" t="str">
        <f>'.'!D108</f>
        <v>On Grid 75kW  DEYE (SUN-75K-G) SIN METER SIN WIFI</v>
      </c>
      <c r="D131" s="73">
        <v>2200.0</v>
      </c>
      <c r="E131" s="33"/>
      <c r="F131" s="49"/>
      <c r="G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</row>
    <row r="132">
      <c r="A132" s="25">
        <f>'.'!A109</f>
        <v>90</v>
      </c>
      <c r="B132" s="26" t="str">
        <f>'.'!C109</f>
        <v>INGRESA JULIO</v>
      </c>
      <c r="C132" s="27" t="str">
        <f>'.'!D109</f>
        <v>On Grid 80kW 6MPPT Trif c/ AFCI , SIN Meter y WiFi DEYE (SUN-80K-G03)</v>
      </c>
      <c r="D132" s="73">
        <f>'.'!F109</f>
        <v>3234</v>
      </c>
      <c r="E132" s="33"/>
      <c r="F132" s="49"/>
      <c r="G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</row>
    <row r="133">
      <c r="A133" s="25">
        <f>'.'!A110</f>
        <v>91</v>
      </c>
      <c r="B133" s="26" t="str">
        <f>'.'!C110</f>
        <v>INMEDIATO</v>
      </c>
      <c r="C133" s="27" t="str">
        <f>'.'!D110</f>
        <v>On Grid 100KVA 6MPPT Trif SIN Meter y WiFi DEYE  (SUN-100K-G03) </v>
      </c>
      <c r="D133" s="73">
        <f>'.'!F110</f>
        <v>3724</v>
      </c>
      <c r="E133" s="32" t="s">
        <v>20</v>
      </c>
    </row>
    <row r="134">
      <c r="A134" s="25">
        <f>'.'!A111</f>
        <v>92</v>
      </c>
      <c r="B134" s="26" t="str">
        <f>'.'!C111</f>
        <v>INMEDIATO</v>
      </c>
      <c r="C134" s="27" t="str">
        <f>'.'!D111</f>
        <v>On Grid 125KVA 8MPPT Trif SIN Meter y WiFi DEYE  (SUN-125K-G01P3-EU-AM8)</v>
      </c>
      <c r="D134" s="73">
        <f>'.'!F111</f>
        <v>4410</v>
      </c>
      <c r="E134" s="79"/>
    </row>
    <row r="135">
      <c r="A135" s="25">
        <f>'.'!A112</f>
        <v>93</v>
      </c>
      <c r="B135" s="26" t="str">
        <f>'.'!C112</f>
        <v>INMEDIATO</v>
      </c>
      <c r="C135" s="27" t="str">
        <f>'.'!D112</f>
        <v>On Grid 136kW 8MPPT Trif SIN Meter y WiFi DEYE (SUN-136K-G01P3-EU-AM8)</v>
      </c>
      <c r="D135" s="73">
        <f>'.'!F112</f>
        <v>4900</v>
      </c>
      <c r="E135" s="70"/>
    </row>
    <row r="136">
      <c r="A136" s="68" t="s">
        <v>26</v>
      </c>
      <c r="B136" s="15"/>
      <c r="C136" s="15"/>
      <c r="D136" s="15"/>
      <c r="E136" s="65"/>
    </row>
    <row r="137">
      <c r="A137" s="25">
        <f>'.'!A114</f>
        <v>94</v>
      </c>
      <c r="B137" s="26" t="str">
        <f>'.'!C114</f>
        <v>INMEDIATO</v>
      </c>
      <c r="C137" s="27" t="str">
        <f>'.'!D114</f>
        <v>Meter directo Monofasico 100A EASTRON (SDM230 Modb V1 (100A))</v>
      </c>
      <c r="D137" s="69">
        <f>'.'!F114</f>
        <v>138</v>
      </c>
      <c r="E137" s="70"/>
    </row>
    <row r="138">
      <c r="A138" s="25">
        <f>'.'!A115</f>
        <v>95</v>
      </c>
      <c r="B138" s="26" t="str">
        <f>'.'!C115</f>
        <v>INMEDIATO</v>
      </c>
      <c r="C138" s="27" t="str">
        <f>'.'!D115</f>
        <v>Meter directo Trifasico 100A EASTRON (SDM630 Modb V2 (100A))</v>
      </c>
      <c r="D138" s="69">
        <f>'.'!F115</f>
        <v>144</v>
      </c>
      <c r="E138" s="72" t="s">
        <v>20</v>
      </c>
    </row>
    <row r="139">
      <c r="A139" s="25">
        <f>'.'!A116</f>
        <v>96</v>
      </c>
      <c r="B139" s="26" t="str">
        <f>'.'!C116</f>
        <v>INMEDIATO</v>
      </c>
      <c r="C139" s="27" t="str">
        <f>'.'!D116</f>
        <v>Meter para pinzas Trifasico c/ CT 250A d24 EASTRON (SDM630MCT-ETL+T24 250A/1A)</v>
      </c>
      <c r="D139" s="69">
        <f>'.'!F116</f>
        <v>250</v>
      </c>
      <c r="E139" s="72" t="s">
        <v>20</v>
      </c>
    </row>
    <row r="140">
      <c r="A140" s="25">
        <f>'.'!A117</f>
        <v>97</v>
      </c>
      <c r="B140" s="26" t="str">
        <f>'.'!C117</f>
        <v>INMEDIATO</v>
      </c>
      <c r="C140" s="27" t="str">
        <f>'.'!D117</f>
        <v>Meter para pinzas Trifasico c/ CT 500A d24 EASTRON (SDM 630MCT-ETL+T24 500A/1A))</v>
      </c>
      <c r="D140" s="69">
        <f>'.'!F117</f>
        <v>300</v>
      </c>
      <c r="E140" s="70"/>
    </row>
    <row r="141">
      <c r="A141" s="25">
        <f>'.'!A118</f>
        <v>98</v>
      </c>
      <c r="B141" s="26" t="str">
        <f>'.'!C118</f>
        <v>INMEDIATO</v>
      </c>
      <c r="C141" s="27" t="str">
        <f>'.'!D118</f>
        <v>Meter para pinzas Trifasico c/ CT 630A d36 EASTRON (SDM630MCT-ETL+T36 630A/1A))</v>
      </c>
      <c r="D141" s="69">
        <f>'.'!F118</f>
        <v>350</v>
      </c>
      <c r="E141" s="70"/>
    </row>
    <row r="142">
      <c r="A142" s="25">
        <f>'.'!A119</f>
        <v>99</v>
      </c>
      <c r="B142" s="26" t="str">
        <f>'.'!C119</f>
        <v>INMEDIATO</v>
      </c>
      <c r="C142" s="27" t="str">
        <f>'.'!D119</f>
        <v>Smart Transceptor Lora DEYE (SUN-SMART-TX01)</v>
      </c>
      <c r="D142" s="69">
        <v>55.0</v>
      </c>
      <c r="E142" s="72" t="s">
        <v>20</v>
      </c>
    </row>
    <row r="143">
      <c r="A143" s="25">
        <f>'.'!A120</f>
        <v>100</v>
      </c>
      <c r="B143" s="26" t="str">
        <f>'.'!C120</f>
        <v>INMEDIATO</v>
      </c>
      <c r="C143" s="27" t="str">
        <f>'.'!D120</f>
        <v>Smart Meter CT Mono Tri Lora DEYE (SUN-SMART-CT01)</v>
      </c>
      <c r="D143" s="69">
        <v>120.0</v>
      </c>
      <c r="E143" s="71"/>
    </row>
    <row r="144">
      <c r="A144" s="68" t="s">
        <v>27</v>
      </c>
      <c r="B144" s="15"/>
      <c r="C144" s="15"/>
      <c r="D144" s="15"/>
      <c r="E144" s="65"/>
      <c r="F144" s="41"/>
      <c r="G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</row>
    <row r="145" ht="19.5" customHeight="1">
      <c r="A145" s="25">
        <f>'.'!A122</f>
        <v>101</v>
      </c>
      <c r="B145" s="26" t="str">
        <f>'.'!C122</f>
        <v>INMEDIATO</v>
      </c>
      <c r="C145" s="27" t="str">
        <f>'.'!D122</f>
        <v>INVERSOR ON-GRID MONOFÁSICO GROWATT MIC-1500TL-X </v>
      </c>
      <c r="D145" s="80">
        <f>'.'!F122</f>
        <v>294.784</v>
      </c>
      <c r="E145" s="79"/>
      <c r="F145" s="41"/>
      <c r="G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</row>
    <row r="146">
      <c r="A146" s="25">
        <f>'.'!A123</f>
        <v>102</v>
      </c>
      <c r="B146" s="26" t="str">
        <f>'.'!C123</f>
        <v>INMEDIATO</v>
      </c>
      <c r="C146" s="27" t="str">
        <f>'.'!D123</f>
        <v>INVERSOR ON-GRID MONOFÁSICO GROWATT MIN 2500TL-X2 Inc. Ant. WIFI X</v>
      </c>
      <c r="D146" s="80">
        <f>'.'!F123</f>
        <v>402.5</v>
      </c>
      <c r="E146" s="79"/>
      <c r="F146" s="41"/>
      <c r="G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</row>
    <row r="147">
      <c r="A147" s="25">
        <f>'.'!A124</f>
        <v>103</v>
      </c>
      <c r="B147" s="26" t="str">
        <f>'.'!C124</f>
        <v>INMEDIATO</v>
      </c>
      <c r="C147" s="27" t="str">
        <f>'.'!D124</f>
        <v>INVERSOR ON-GRID MONOFÁSICO GROWATT MIC-2000TL-X2 wifi x</v>
      </c>
      <c r="D147" s="80">
        <f>'.'!F124</f>
        <v>344.4896</v>
      </c>
      <c r="E147" s="31" t="s">
        <v>20</v>
      </c>
      <c r="F147" s="41"/>
      <c r="G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</row>
    <row r="148">
      <c r="A148" s="25">
        <f>'.'!A125</f>
        <v>104</v>
      </c>
      <c r="B148" s="26" t="str">
        <f>'.'!C125</f>
        <v>INMEDIATO</v>
      </c>
      <c r="C148" s="27" t="str">
        <f>'.'!D125</f>
        <v>INVERSOR ON-GRID MONOFÁSICO GROWATT MIN 3000TL-X2 incl wifi</v>
      </c>
      <c r="D148" s="80">
        <f>'.'!F125</f>
        <v>442.75</v>
      </c>
      <c r="E148" s="79"/>
      <c r="F148" s="41"/>
      <c r="G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</row>
    <row r="149">
      <c r="A149" s="25">
        <f>'.'!A126</f>
        <v>105</v>
      </c>
      <c r="B149" s="26" t="str">
        <f>'.'!C126</f>
        <v>INMEDIATO</v>
      </c>
      <c r="C149" s="27" t="str">
        <f>'.'!D126</f>
        <v>INVERSOR GROWATT MONOFASICO ON GRID - MIC3000TL-X2 incl wifi</v>
      </c>
      <c r="D149" s="80">
        <f>'.'!F126</f>
        <v>399.84</v>
      </c>
      <c r="E149" s="79"/>
      <c r="F149" s="41"/>
      <c r="G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</row>
    <row r="150">
      <c r="A150" s="25">
        <f>'.'!A127</f>
        <v>106</v>
      </c>
      <c r="B150" s="26" t="str">
        <f>'.'!C127</f>
        <v>SIN FECHA ESTIMADA</v>
      </c>
      <c r="C150" s="27" t="str">
        <f>'.'!D127</f>
        <v>INVERSOR ON-GRID MONOFÁSICO GROWATT MIC-3300TL-X</v>
      </c>
      <c r="D150" s="80">
        <f>'.'!F127</f>
        <v>471.1392</v>
      </c>
      <c r="E150" s="33"/>
      <c r="F150" s="81"/>
      <c r="G150" s="81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</row>
    <row r="151">
      <c r="A151" s="25">
        <f>'.'!A128</f>
        <v>107</v>
      </c>
      <c r="B151" s="26" t="str">
        <f>'.'!C128</f>
        <v>INMEDIATO</v>
      </c>
      <c r="C151" s="27" t="str">
        <f>'.'!D128</f>
        <v>INVERSOR ON-GRID MONOFÁSICO 4200W, MIN4200TL-X</v>
      </c>
      <c r="D151" s="80">
        <f>'.'!F128</f>
        <v>584.545</v>
      </c>
      <c r="E151" s="33"/>
      <c r="F151" s="82"/>
      <c r="G151" s="82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</row>
    <row r="152">
      <c r="A152" s="25">
        <f>'.'!A129</f>
        <v>108</v>
      </c>
      <c r="B152" s="26" t="str">
        <f>'.'!C129</f>
        <v>INMEDIATO</v>
      </c>
      <c r="C152" s="44" t="str">
        <f>'.'!D129</f>
        <v>INVERSOR ON-GRID MONOFÁSICO 5000W, MIN5000TL-X2 incl ant wifi</v>
      </c>
      <c r="D152" s="80">
        <f>'.'!F129</f>
        <v>619.3</v>
      </c>
      <c r="E152" s="33"/>
      <c r="F152" s="82"/>
      <c r="G152" s="82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</row>
    <row r="153">
      <c r="A153" s="25">
        <f>'.'!A130</f>
        <v>109</v>
      </c>
      <c r="B153" s="26" t="str">
        <f>'.'!C130</f>
        <v>SIN FECHA ESTIMADA</v>
      </c>
      <c r="C153" s="27" t="str">
        <f>'.'!D130</f>
        <v>INVERSOR ON-GRID MONOFÁSICO 5000W, MIN5000TL-X</v>
      </c>
      <c r="D153" s="80">
        <f>'.'!F130</f>
        <v>621.656</v>
      </c>
      <c r="E153" s="33"/>
      <c r="F153" s="82"/>
      <c r="G153" s="82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</row>
    <row r="154">
      <c r="A154" s="25">
        <f>'.'!A131</f>
        <v>110</v>
      </c>
      <c r="B154" s="26" t="str">
        <f>'.'!C131</f>
        <v>INMEDIATO</v>
      </c>
      <c r="C154" s="27" t="str">
        <f>'.'!D131</f>
        <v>INVERSOR GROWATT MONOFASICO ON GRID MIN 6000 TL-X2 incl ant wifi</v>
      </c>
      <c r="D154" s="80">
        <v>680.0</v>
      </c>
      <c r="E154" s="33"/>
      <c r="F154" s="83"/>
      <c r="G154" s="83"/>
    </row>
    <row r="155">
      <c r="A155" s="25">
        <f>'.'!A132</f>
        <v>111</v>
      </c>
      <c r="B155" s="26" t="str">
        <f>'.'!C132</f>
        <v>SIN FECHA ESTIMADA</v>
      </c>
      <c r="C155" s="27" t="str">
        <f>'.'!D132</f>
        <v>INVERSOR GROWATT TRIFÁSICO ON GRID MOD4000TL3-X</v>
      </c>
      <c r="D155" s="80">
        <f>'.'!F132</f>
        <v>1068.1</v>
      </c>
      <c r="E155" s="33"/>
      <c r="F155" s="83"/>
      <c r="G155" s="83"/>
    </row>
    <row r="156">
      <c r="A156" s="25">
        <f>'.'!A133</f>
        <v>112</v>
      </c>
      <c r="B156" s="26" t="str">
        <f>'.'!C133</f>
        <v>INMEDIATO</v>
      </c>
      <c r="C156" s="44" t="str">
        <f>'.'!D133</f>
        <v>INVERSOR GROWATT TRIFÁSICO ON GRID MOD5000TL3-X inc wifi</v>
      </c>
      <c r="D156" s="80">
        <f>'.'!F133</f>
        <v>784.38</v>
      </c>
      <c r="E156" s="33"/>
      <c r="F156" s="83"/>
      <c r="G156" s="83"/>
    </row>
    <row r="157">
      <c r="A157" s="25">
        <f>'.'!A134</f>
        <v>113</v>
      </c>
      <c r="B157" s="26" t="str">
        <f>'.'!C134</f>
        <v>INMEDIATO</v>
      </c>
      <c r="C157" s="27" t="str">
        <f>'.'!D134</f>
        <v>INVERSOR GROWATT TRIFASICO ON GRID MOD 6000 TL3-X </v>
      </c>
      <c r="D157" s="80">
        <f>'.'!F134</f>
        <v>935.2</v>
      </c>
      <c r="E157" s="32" t="s">
        <v>20</v>
      </c>
      <c r="F157" s="83"/>
      <c r="G157" s="83"/>
    </row>
    <row r="158">
      <c r="A158" s="25">
        <f>'.'!A135</f>
        <v>114</v>
      </c>
      <c r="B158" s="26" t="str">
        <f>'.'!C135</f>
        <v>INMEDIATO</v>
      </c>
      <c r="C158" s="27" t="str">
        <f>'.'!D135</f>
        <v>INVERSOR GROWATT MONOFASICO ON GRID MIN10000 TL-X2</v>
      </c>
      <c r="D158" s="80">
        <f>'.'!F135</f>
        <v>1271.809</v>
      </c>
      <c r="E158" s="31" t="s">
        <v>20</v>
      </c>
      <c r="F158" s="83"/>
      <c r="G158" s="83"/>
    </row>
    <row r="159">
      <c r="A159" s="25">
        <f>'.'!A136</f>
        <v>115</v>
      </c>
      <c r="B159" s="26" t="str">
        <f>'.'!C136</f>
        <v>INMEDIATO</v>
      </c>
      <c r="C159" s="27" t="str">
        <f>'.'!D136</f>
        <v>INVERSOR GROWATT TRIFASICO ON GRID MOD 8000 TL3-X incl wifi</v>
      </c>
      <c r="D159" s="80">
        <f>'.'!F136</f>
        <v>1242</v>
      </c>
      <c r="E159" s="79"/>
      <c r="F159" s="41"/>
      <c r="G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</row>
    <row r="160">
      <c r="A160" s="25">
        <f>'.'!A137</f>
        <v>116</v>
      </c>
      <c r="B160" s="26" t="str">
        <f>'.'!C137</f>
        <v>INMEDIATO</v>
      </c>
      <c r="C160" s="27" t="str">
        <f>'.'!D137</f>
        <v>INVERSOR GROWATT TRIFASICO ON GRID MOD 10000 TL3-X</v>
      </c>
      <c r="D160" s="80">
        <f>'.'!F137</f>
        <v>1237.6</v>
      </c>
      <c r="E160" s="79"/>
      <c r="F160" s="41"/>
      <c r="G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</row>
    <row r="161">
      <c r="A161" s="25">
        <f>'.'!A138</f>
        <v>117</v>
      </c>
      <c r="B161" s="26" t="str">
        <f>'.'!C138</f>
        <v>INMEDIATO</v>
      </c>
      <c r="C161" s="44" t="str">
        <f>'.'!D138</f>
        <v>INVERSOR GROWATT TRIFASICO ON GRID MOD 10000 TL3-X2 PRO Incl. Ant. WIFI X</v>
      </c>
      <c r="D161" s="80">
        <f>'.'!F138</f>
        <v>972.1375</v>
      </c>
      <c r="E161" s="79"/>
    </row>
    <row r="162">
      <c r="A162" s="25">
        <f>'.'!A139</f>
        <v>118</v>
      </c>
      <c r="B162" s="26" t="str">
        <f>'.'!C139</f>
        <v>SIN FECHA ESTIMADA</v>
      </c>
      <c r="C162" s="27" t="str">
        <f>'.'!D139</f>
        <v>INVERSOR GROWATT TRIFASICO ON GRID MOD 15000 TL3-X2 PRO incl wifi</v>
      </c>
      <c r="D162" s="80">
        <f>'.'!F139</f>
        <v>1349.205</v>
      </c>
      <c r="E162" s="79"/>
    </row>
    <row r="163">
      <c r="A163" s="25">
        <f>'.'!A140</f>
        <v>119</v>
      </c>
      <c r="B163" s="26" t="str">
        <f>'.'!C140</f>
        <v>INMEDIATO</v>
      </c>
      <c r="C163" s="27" t="str">
        <f>'.'!D140</f>
        <v>INVERSOR ON-GRID TRIFÁSICO GROWATT MID15KTL3-X  incl wifi. </v>
      </c>
      <c r="D163" s="80">
        <f>'.'!F140</f>
        <v>1531.2</v>
      </c>
      <c r="E163" s="79"/>
    </row>
    <row r="164">
      <c r="A164" s="25">
        <f>'.'!A141</f>
        <v>120</v>
      </c>
      <c r="B164" s="26" t="str">
        <f>'.'!C141</f>
        <v>INMEDIATO</v>
      </c>
      <c r="C164" s="44" t="str">
        <f>'.'!D141</f>
        <v>INVERSOR ON-GRID TRIFÁSICO GROWATT MID20KTL3-X2 - </v>
      </c>
      <c r="D164" s="80">
        <f>'.'!F141</f>
        <v>1372.571</v>
      </c>
      <c r="E164" s="79"/>
    </row>
    <row r="165">
      <c r="A165" s="25">
        <f>'.'!A142</f>
        <v>121</v>
      </c>
      <c r="B165" s="26" t="str">
        <f>'.'!C142</f>
        <v>INMEDIATO</v>
      </c>
      <c r="C165" s="27" t="str">
        <f>'.'!D142</f>
        <v>INVERSOR GROWATT TRIFASICO ON GRID MID 25KTL3-X - PROMO</v>
      </c>
      <c r="D165" s="80">
        <f>'.'!F142</f>
        <v>1657.768</v>
      </c>
      <c r="E165" s="79"/>
    </row>
    <row r="166">
      <c r="A166" s="25">
        <f>'.'!A143</f>
        <v>122</v>
      </c>
      <c r="B166" s="26" t="str">
        <f>'.'!C143</f>
        <v>INMEDIATO</v>
      </c>
      <c r="C166" s="44" t="str">
        <f>'.'!D143</f>
        <v>INVERSOR ON-GRID TRIFÁSICO GROWATT MID30KTL3-X2 inc wifi.afci</v>
      </c>
      <c r="D166" s="80">
        <f>'.'!F143</f>
        <v>1535.666</v>
      </c>
      <c r="E166" s="79"/>
    </row>
    <row r="167">
      <c r="A167" s="25">
        <f>'.'!A144</f>
        <v>123</v>
      </c>
      <c r="B167" s="26" t="str">
        <f>'.'!C144</f>
        <v>INMEDIATO</v>
      </c>
      <c r="C167" s="27" t="str">
        <f>'.'!D144</f>
        <v>INVERSOR GROWATT TRIFASICO ON GRID MID 40KTL3-X</v>
      </c>
      <c r="D167" s="80">
        <f>'.'!F144</f>
        <v>1952.9888</v>
      </c>
      <c r="E167" s="32" t="s">
        <v>20</v>
      </c>
      <c r="F167" s="41"/>
      <c r="G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</row>
    <row r="168">
      <c r="A168" s="25">
        <f>'.'!A145</f>
        <v>124</v>
      </c>
      <c r="B168" s="26" t="str">
        <f>'.'!C145</f>
        <v>INMEDIATO</v>
      </c>
      <c r="C168" s="27" t="str">
        <f>'.'!D145</f>
        <v>INVERSOR GROWATT TRIFASICO ON GRID MID 40KTL3-X2</v>
      </c>
      <c r="D168" s="80">
        <f>'.'!F145</f>
        <v>2422.651</v>
      </c>
      <c r="E168" s="33"/>
      <c r="F168" s="41"/>
      <c r="G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</row>
    <row r="169">
      <c r="A169" s="25">
        <f>'.'!A146</f>
        <v>125</v>
      </c>
      <c r="B169" s="26" t="str">
        <f>'.'!C146</f>
        <v>INMEDIATO</v>
      </c>
      <c r="C169" s="44" t="str">
        <f>'.'!D146</f>
        <v>INVERSOR ON-GRID TRIFÁSICO GROWATT MAC50KTL3-XLV con 3MPPT - LIQUIDACION</v>
      </c>
      <c r="D169" s="80">
        <f>'.'!F146</f>
        <v>1610</v>
      </c>
      <c r="E169" s="84"/>
      <c r="F169" s="37"/>
      <c r="G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</row>
    <row r="170">
      <c r="A170" s="25">
        <f>'.'!A147</f>
        <v>126</v>
      </c>
      <c r="B170" s="26" t="str">
        <f>'.'!C147</f>
        <v>INMEDIATO</v>
      </c>
      <c r="C170" s="44" t="str">
        <f>'.'!D147</f>
        <v>INVERSOR ON-GRID TRIFÁSICO GROWATT MAX50KTL3-LV con 6MPPT - LIQUIDACION</v>
      </c>
      <c r="D170" s="80">
        <f>'.'!F147</f>
        <v>1610</v>
      </c>
      <c r="E170" s="79"/>
    </row>
    <row r="171">
      <c r="A171" s="25">
        <f>'.'!A148</f>
        <v>127</v>
      </c>
      <c r="B171" s="26" t="str">
        <f>'.'!C148</f>
        <v>INMEDIATO</v>
      </c>
      <c r="C171" s="44" t="str">
        <f>'.'!D148</f>
        <v>INVERSOR ON-GRID TRIFÁSICO GROWATT MID50KTL3-X2 con 4MPPT AFCI </v>
      </c>
      <c r="D171" s="80">
        <f>'.'!F148</f>
        <v>1957.14</v>
      </c>
      <c r="E171" s="79"/>
    </row>
    <row r="172">
      <c r="A172" s="25">
        <f>'.'!A149</f>
        <v>128</v>
      </c>
      <c r="B172" s="26" t="str">
        <f>'.'!C149</f>
        <v>INMEDIATO</v>
      </c>
      <c r="C172" s="27" t="str">
        <f>'.'!D149</f>
        <v>INVERSOR ON-GRID TRIFÁSICO GROWATT MAX60KTL3-XLV con 6 MPPT AFCI INC WIFI </v>
      </c>
      <c r="D172" s="80">
        <f>'.'!F149</f>
        <v>3230.92</v>
      </c>
      <c r="E172" s="79"/>
      <c r="F172" s="41"/>
      <c r="G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</row>
    <row r="173">
      <c r="A173" s="25">
        <f>'.'!A150</f>
        <v>129</v>
      </c>
      <c r="B173" s="26" t="str">
        <f>'.'!C150</f>
        <v>INMEDIATO</v>
      </c>
      <c r="C173" s="27" t="str">
        <f>'.'!D150</f>
        <v>INVERSOR ON-GRID TRIFÁSICO GROWATT MAX60KTL3-XLV con 6 MPPT  - </v>
      </c>
      <c r="D173" s="80">
        <f>'.'!F150</f>
        <v>3417.403</v>
      </c>
      <c r="E173" s="79"/>
      <c r="F173" s="41"/>
      <c r="G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</row>
    <row r="174">
      <c r="A174" s="25">
        <f>'.'!A151</f>
        <v>130</v>
      </c>
      <c r="B174" s="26" t="str">
        <f>'.'!C151</f>
        <v>INMEDIATO</v>
      </c>
      <c r="C174" s="27" t="str">
        <f>'.'!D151</f>
        <v>INVERSOR ON-GRID TRIFÁSICO GROWATT MAX60KTL3-LV  - PROMO</v>
      </c>
      <c r="D174" s="80">
        <f>'.'!F151</f>
        <v>2968</v>
      </c>
      <c r="E174" s="79"/>
      <c r="F174" s="41"/>
      <c r="G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</row>
    <row r="175">
      <c r="A175" s="25">
        <f>'.'!A152</f>
        <v>131</v>
      </c>
      <c r="B175" s="26" t="str">
        <f>'.'!C152</f>
        <v>INMEDIATO</v>
      </c>
      <c r="C175" s="27" t="str">
        <f>'.'!D152</f>
        <v>INVERSOR ON-GRID TRIFÁSICO GROWATT MAX80KTL3 LV </v>
      </c>
      <c r="D175" s="80">
        <f>'.'!F152</f>
        <v>3044.8</v>
      </c>
      <c r="E175" s="79"/>
      <c r="F175" s="41"/>
      <c r="G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</row>
    <row r="176">
      <c r="A176" s="25">
        <f>'.'!A153</f>
        <v>132</v>
      </c>
      <c r="B176" s="26" t="str">
        <f>'.'!C153</f>
        <v>INMEDIATO</v>
      </c>
      <c r="C176" s="44" t="str">
        <f>'.'!D153</f>
        <v>INVERSOR ON-GRID TRIFÁSICO GROWATT MAX80KTL3 LV (AFCI) INC WIFI</v>
      </c>
      <c r="D176" s="80">
        <f>'.'!F153</f>
        <v>2501.62</v>
      </c>
      <c r="E176" s="79"/>
      <c r="F176" s="41"/>
      <c r="G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</row>
    <row r="177">
      <c r="A177" s="25">
        <f>'.'!A154</f>
        <v>133</v>
      </c>
      <c r="B177" s="26" t="str">
        <f>'.'!C154</f>
        <v>INMEDIATO</v>
      </c>
      <c r="C177" s="44" t="str">
        <f>'.'!D154</f>
        <v>INVERSOR ON-GRID TRIFÁSICO GROWATT MAX100KTL3-X2 LV (AFCI) Incl. Ant. WIFI X</v>
      </c>
      <c r="D177" s="80">
        <f>'.'!F154</f>
        <v>3261.5265</v>
      </c>
      <c r="E177" s="33"/>
      <c r="F177" s="41"/>
      <c r="G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</row>
    <row r="178">
      <c r="A178" s="25">
        <f>'.'!A155</f>
        <v>134</v>
      </c>
      <c r="B178" s="26" t="str">
        <f>'.'!C155</f>
        <v>INMEDIATO</v>
      </c>
      <c r="C178" s="27" t="str">
        <f>'.'!D155</f>
        <v>INVERSOR ON-GRID TRIFÁSICO GROWATT MAX110KTL3-X2 LV  - </v>
      </c>
      <c r="D178" s="80">
        <f>'.'!F155</f>
        <v>5031.301</v>
      </c>
      <c r="E178" s="32" t="s">
        <v>20</v>
      </c>
      <c r="F178" s="41"/>
      <c r="G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</row>
    <row r="179">
      <c r="A179" s="25">
        <f>'.'!A156</f>
        <v>135</v>
      </c>
      <c r="B179" s="26" t="str">
        <f>'.'!C156</f>
        <v>INMEDIATO</v>
      </c>
      <c r="C179" s="27" t="str">
        <f>'.'!D156</f>
        <v>INVERSOR GROWATT TRIFASICO MAX125KTL3- LV </v>
      </c>
      <c r="D179" s="80">
        <f>'.'!F156</f>
        <v>4240.5888</v>
      </c>
      <c r="E179" s="33"/>
    </row>
    <row r="180">
      <c r="A180" s="25">
        <f>'.'!A157</f>
        <v>136</v>
      </c>
      <c r="B180" s="26" t="str">
        <f>'.'!C157</f>
        <v>INMEDIATO</v>
      </c>
      <c r="C180" s="44" t="str">
        <f>'.'!D157</f>
        <v>INVERSOR GROWATT TRIFASICO MAX125KTL3-X2 LV AFCI - </v>
      </c>
      <c r="D180" s="80">
        <f>'.'!F157</f>
        <v>4291.1</v>
      </c>
      <c r="E180" s="32" t="s">
        <v>20</v>
      </c>
    </row>
    <row r="181">
      <c r="A181" s="64" t="s">
        <v>28</v>
      </c>
      <c r="B181" s="15"/>
      <c r="C181" s="15"/>
      <c r="D181" s="15"/>
      <c r="E181" s="65"/>
    </row>
    <row r="182">
      <c r="A182" s="25">
        <f>'.'!A159</f>
        <v>137</v>
      </c>
      <c r="B182" s="26" t="str">
        <f>'.'!C159</f>
        <v>INMEDIATO</v>
      </c>
      <c r="C182" s="27" t="str">
        <f>'.'!D159</f>
        <v>SISTEMA DE COMUNICACIÓN GROWATT - SHINE WIFI-X - 4G</v>
      </c>
      <c r="D182" s="67">
        <f>'.'!F159</f>
        <v>107.952</v>
      </c>
      <c r="E182" s="79"/>
    </row>
    <row r="183">
      <c r="A183" s="25">
        <f>'.'!A160</f>
        <v>138</v>
      </c>
      <c r="B183" s="26" t="str">
        <f>'.'!C160</f>
        <v>INMEDIATO</v>
      </c>
      <c r="C183" s="27" t="str">
        <f>'.'!D160</f>
        <v>SISTEMA DE COMUNICACIÓN GROWATT - SHINE WIFI-X </v>
      </c>
      <c r="D183" s="67">
        <f>'.'!F160</f>
        <v>41.6</v>
      </c>
      <c r="E183" s="85"/>
      <c r="F183" s="58"/>
    </row>
    <row r="184">
      <c r="A184" s="25">
        <f>'.'!A161</f>
        <v>139</v>
      </c>
      <c r="B184" s="26" t="str">
        <f>'.'!C161</f>
        <v>INMEDIATO</v>
      </c>
      <c r="C184" s="27" t="str">
        <f>'.'!D161</f>
        <v>SISTEMA DE COMUNICACIÓN GROWATT - SHINE WIFI-F</v>
      </c>
      <c r="D184" s="67">
        <f>'.'!F161</f>
        <v>41.6</v>
      </c>
      <c r="E184" s="79"/>
    </row>
    <row r="185">
      <c r="A185" s="25">
        <f>'.'!A162</f>
        <v>140</v>
      </c>
      <c r="B185" s="26" t="str">
        <f>'.'!C162</f>
        <v>INMEDIATO</v>
      </c>
      <c r="C185" s="27" t="str">
        <f>'.'!D162</f>
        <v>SISTEMA DE COMUNICACIÓN GROWATT - SHINE LAN-X</v>
      </c>
      <c r="D185" s="67">
        <f>'.'!F162</f>
        <v>41.08</v>
      </c>
      <c r="E185" s="79"/>
    </row>
    <row r="186">
      <c r="A186" s="25">
        <f>'.'!A163</f>
        <v>141</v>
      </c>
      <c r="B186" s="26" t="str">
        <f>'.'!C163</f>
        <v>INMEDIATO</v>
      </c>
      <c r="C186" s="27" t="str">
        <f>'.'!D163</f>
        <v>Shinemaster Growatt</v>
      </c>
      <c r="D186" s="67">
        <v>487.25</v>
      </c>
      <c r="E186" s="86" t="s">
        <v>20</v>
      </c>
    </row>
    <row r="187">
      <c r="A187" s="25">
        <f>'.'!A164</f>
        <v>142</v>
      </c>
      <c r="B187" s="26" t="str">
        <f>'.'!C164</f>
        <v>INMEDIATO</v>
      </c>
      <c r="C187" s="27" t="str">
        <f>'.'!D164</f>
        <v>Smart Energy Meter Growatt</v>
      </c>
      <c r="D187" s="67">
        <f>'.'!F164</f>
        <v>933.12</v>
      </c>
      <c r="E187" s="86" t="s">
        <v>20</v>
      </c>
    </row>
    <row r="188">
      <c r="A188" s="25">
        <f>'.'!A165</f>
        <v>143</v>
      </c>
      <c r="B188" s="26" t="str">
        <f>'.'!C165</f>
        <v>INMEDIATO</v>
      </c>
      <c r="C188" s="27" t="str">
        <f>'.'!D165</f>
        <v>battery hub </v>
      </c>
      <c r="D188" s="67">
        <f>'.'!F165</f>
        <v>350</v>
      </c>
      <c r="E188" s="66"/>
    </row>
    <row r="189">
      <c r="A189" s="25">
        <f>'.'!A166</f>
        <v>144</v>
      </c>
      <c r="B189" s="26" t="str">
        <f>'.'!C166</f>
        <v>INMEDIATO</v>
      </c>
      <c r="C189" s="27" t="str">
        <f>'.'!D166</f>
        <v>Limitador de inyeccion MONOFASICO, Modelo Growatt SPM - E, (CHINT o eastron), </v>
      </c>
      <c r="D189" s="67">
        <f>'.'!F166</f>
        <v>126</v>
      </c>
      <c r="E189" s="87" t="s">
        <v>20</v>
      </c>
      <c r="F189" s="58"/>
    </row>
    <row r="190">
      <c r="A190" s="25">
        <f>'.'!A167</f>
        <v>145</v>
      </c>
      <c r="B190" s="26" t="str">
        <f>'.'!C167</f>
        <v>SIN FECHA ESTIMADA</v>
      </c>
      <c r="C190" s="27" t="str">
        <f>'.'!D167</f>
        <v>Limitador de inyeccion MONOFASICO, Modelo Growatt SPM-CT-E , censado mediante CT</v>
      </c>
      <c r="D190" s="67">
        <f>'.'!F167</f>
        <v>258</v>
      </c>
      <c r="E190" s="86" t="s">
        <v>20</v>
      </c>
    </row>
    <row r="191">
      <c r="A191" s="25">
        <f>'.'!A168</f>
        <v>146</v>
      </c>
      <c r="B191" s="26" t="str">
        <f>'.'!C168</f>
        <v>INMEDIATO</v>
      </c>
      <c r="C191" s="27" t="str">
        <f>'.'!D168</f>
        <v>Limitador de inyeccion TRIFASICO, Modelo Growatt TPM - E, (eastron), </v>
      </c>
      <c r="D191" s="67">
        <f>'.'!F168</f>
        <v>187.746</v>
      </c>
      <c r="E191" s="86" t="s">
        <v>20</v>
      </c>
      <c r="F191" s="38"/>
      <c r="G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</row>
    <row r="192">
      <c r="A192" s="25">
        <f>'.'!A169</f>
        <v>147</v>
      </c>
      <c r="B192" s="26" t="str">
        <f>'.'!C169</f>
        <v>INMEDIATO</v>
      </c>
      <c r="C192" s="27" t="str">
        <f>'.'!D169</f>
        <v>Limitador de inyección Growatt TPM-CT-E(250A) trifásico</v>
      </c>
      <c r="D192" s="67">
        <f>'.'!F169</f>
        <v>258.96</v>
      </c>
      <c r="E192" s="86" t="s">
        <v>20</v>
      </c>
      <c r="F192" s="41"/>
      <c r="G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</row>
    <row r="193" ht="18.75" customHeight="1">
      <c r="A193" s="25">
        <f>'.'!A170</f>
        <v>148</v>
      </c>
      <c r="B193" s="26" t="str">
        <f>'.'!C170</f>
        <v>INMEDIATO</v>
      </c>
      <c r="C193" s="27" t="str">
        <f>'.'!D170</f>
        <v>Limitador de inyección Growatt TPM-CT-E(100A) trifásico
</v>
      </c>
      <c r="D193" s="67">
        <f>'.'!F170</f>
        <v>239.04</v>
      </c>
      <c r="E193" s="66"/>
      <c r="F193" s="41"/>
      <c r="G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</row>
    <row r="194" ht="18.75" customHeight="1">
      <c r="A194" s="25">
        <f>'.'!A171</f>
        <v>149</v>
      </c>
      <c r="B194" s="26" t="str">
        <f>'.'!C171</f>
        <v>INMEDIATO</v>
      </c>
      <c r="C194" s="27" t="str">
        <f>'.'!D171</f>
        <v>Limitador de inyección Growatt TPM-CT-E(600A) trifásico
</v>
      </c>
      <c r="D194" s="67">
        <f>'.'!F171</f>
        <v>655.2</v>
      </c>
      <c r="E194" s="66"/>
      <c r="F194" s="41"/>
      <c r="G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</row>
    <row r="195">
      <c r="A195" s="25">
        <f>'.'!A172</f>
        <v>150</v>
      </c>
      <c r="B195" s="26" t="str">
        <f>'.'!C172</f>
        <v>INMEDIATO</v>
      </c>
      <c r="C195" s="27" t="str">
        <f>'.'!D172</f>
        <v>Limitador de inyección de energía a red, para varios inversores OnGrid Growatt Trifásicos, hasta 100kw</v>
      </c>
      <c r="D195" s="67">
        <f>'.'!F172</f>
        <v>747</v>
      </c>
      <c r="E195" s="66"/>
      <c r="F195" s="41"/>
      <c r="G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</row>
    <row r="196">
      <c r="A196" s="88" t="s">
        <v>29</v>
      </c>
      <c r="B196" s="15"/>
      <c r="C196" s="15"/>
      <c r="D196" s="15"/>
      <c r="E196" s="65"/>
      <c r="F196" s="49"/>
      <c r="G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</row>
    <row r="197">
      <c r="A197" s="25">
        <f>'.'!A174</f>
        <v>151</v>
      </c>
      <c r="B197" s="26" t="str">
        <f>'.'!C174</f>
        <v>INMEDIATO</v>
      </c>
      <c r="C197" s="27" t="str">
        <f>'.'!D174</f>
        <v>INVERSOR GROWATT MONOFASICO OFF GRID 3KW SPF 3000TL HVM-24. </v>
      </c>
      <c r="D197" s="69">
        <f>'.'!F174</f>
        <v>377.982</v>
      </c>
      <c r="E197" s="86" t="s">
        <v>20</v>
      </c>
      <c r="F197" s="38"/>
      <c r="G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</row>
    <row r="198">
      <c r="A198" s="25">
        <f>'.'!A175</f>
        <v>152</v>
      </c>
      <c r="B198" s="26" t="str">
        <f>'.'!C175</f>
        <v>INMEDIATO</v>
      </c>
      <c r="C198" s="27" t="str">
        <f>'.'!D175</f>
        <v>INVERSOR GROWATT MONOFASICO OFF GRID 3KW SPF 3000TL HVM-48.</v>
      </c>
      <c r="D198" s="69">
        <f>'.'!F175</f>
        <v>425.25</v>
      </c>
      <c r="E198" s="86" t="s">
        <v>20</v>
      </c>
      <c r="F198" s="41"/>
      <c r="G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</row>
    <row r="199">
      <c r="A199" s="25">
        <f>'.'!A176</f>
        <v>153</v>
      </c>
      <c r="B199" s="26" t="str">
        <f>'.'!C176</f>
        <v>INMEDIATO</v>
      </c>
      <c r="C199" s="44" t="str">
        <f>'.'!D176</f>
        <v>INVERSOR GROWATT MONOFASICO OFF GRID 3.5KW SPF 3500 ES (en caso de usar BMS avisar para actualizacion de firmware)</v>
      </c>
      <c r="D199" s="89">
        <f>'.'!F176</f>
        <v>407</v>
      </c>
      <c r="E199" s="32" t="s">
        <v>20</v>
      </c>
      <c r="F199" s="38"/>
    </row>
    <row r="200">
      <c r="A200" s="25">
        <f>'.'!A177</f>
        <v>154</v>
      </c>
      <c r="B200" s="26" t="str">
        <f>'.'!C177</f>
        <v>INMEDIATO</v>
      </c>
      <c r="C200" s="27" t="str">
        <f>'.'!D177</f>
        <v>INVERSOR GROWATT MONOFASICO OFF GRID 5KW - SPF 5000 TL HVM -48. Wifi </v>
      </c>
      <c r="D200" s="69">
        <f>'.'!F177</f>
        <v>692.52</v>
      </c>
      <c r="E200" s="31" t="s">
        <v>20</v>
      </c>
    </row>
    <row r="201">
      <c r="A201" s="25">
        <f>'.'!A178</f>
        <v>155</v>
      </c>
      <c r="B201" s="26" t="str">
        <f>'.'!C178</f>
        <v>INMEDIATO</v>
      </c>
      <c r="C201" s="27" t="str">
        <f>'.'!D178</f>
        <v>INVERSOR GROWATT MONOFASICO OFF GRID 5KW - SPF 5000 ES </v>
      </c>
      <c r="D201" s="69">
        <f>'.'!F178</f>
        <v>482.0225</v>
      </c>
      <c r="E201" s="32" t="s">
        <v>20</v>
      </c>
      <c r="F201" s="38"/>
    </row>
    <row r="202">
      <c r="A202" s="25">
        <f>'.'!A179</f>
        <v>156</v>
      </c>
      <c r="B202" s="26" t="str">
        <f>'.'!C179</f>
        <v>INMEDIATO</v>
      </c>
      <c r="C202" s="27" t="str">
        <f>'.'!D179</f>
        <v>INVERSOR OFF-GRID/CARGADOR, GROWATT SPF6000ES PLUS incl shine F</v>
      </c>
      <c r="D202" s="69">
        <f>'.'!F179</f>
        <v>562.716</v>
      </c>
      <c r="E202" s="32" t="s">
        <v>20</v>
      </c>
      <c r="F202" s="38"/>
      <c r="G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</row>
    <row r="203">
      <c r="A203" s="88" t="s">
        <v>30</v>
      </c>
      <c r="B203" s="15"/>
      <c r="C203" s="15"/>
      <c r="D203" s="15"/>
      <c r="E203" s="65"/>
      <c r="F203" s="41"/>
      <c r="G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</row>
    <row r="204">
      <c r="A204" s="25">
        <f>'.'!A181</f>
        <v>157</v>
      </c>
      <c r="B204" s="26" t="str">
        <f>'.'!C181</f>
        <v>INMEDIATO. 5 a 10 dias habiles para despachar</v>
      </c>
      <c r="C204" s="27" t="str">
        <f>'.'!D181</f>
        <v>Inverter OFF-GRID Goodwe 6kW, 1 MPPT</v>
      </c>
      <c r="D204" s="90">
        <v>700.0</v>
      </c>
      <c r="E204" s="72" t="s">
        <v>20</v>
      </c>
      <c r="F204" s="41"/>
      <c r="G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</row>
    <row r="205">
      <c r="A205" s="88" t="s">
        <v>31</v>
      </c>
      <c r="B205" s="15"/>
      <c r="C205" s="15"/>
      <c r="D205" s="15"/>
      <c r="E205" s="65"/>
    </row>
    <row r="206">
      <c r="A206" s="25">
        <f>'.'!A183</f>
        <v>158</v>
      </c>
      <c r="B206" s="26" t="str">
        <f>'.'!C183</f>
        <v>INGRESA JULIO</v>
      </c>
      <c r="C206" s="27" t="str">
        <f>'.'!D183</f>
        <v>Inversor y Bateria 2500W 2560Wh 4MPPT Mono c/Wifi DEYE (SUN-BK250-2.56)</v>
      </c>
      <c r="D206" s="90">
        <f>'.'!F183</f>
        <v>1300</v>
      </c>
      <c r="E206" s="72" t="s">
        <v>20</v>
      </c>
    </row>
    <row r="207">
      <c r="A207" s="25">
        <f>'.'!A184</f>
        <v>159</v>
      </c>
      <c r="B207" s="26" t="str">
        <f>'.'!C184</f>
        <v>INGRESA JULIO</v>
      </c>
      <c r="C207" s="27" t="str">
        <f>'.'!D184</f>
        <v>Bateria Ampliacion 2560Wh hasta 40un Adicionales DEYE (AE-F2.56)</v>
      </c>
      <c r="D207" s="90">
        <f>'.'!F184</f>
        <v>800</v>
      </c>
      <c r="E207" s="66"/>
    </row>
    <row r="208">
      <c r="A208" s="25">
        <f>'.'!A185</f>
        <v>160</v>
      </c>
      <c r="B208" s="26" t="str">
        <f>'.'!C185</f>
        <v>INMEDIATO</v>
      </c>
      <c r="C208" s="27" t="str">
        <f>'.'!D185</f>
        <v>Inversor Off Grid 6kW 1MPPT 48v Mono c/CT y WiFi DEYE (SUN-6K-OG02LP1-EU-AM1) (hay con 2mppt pero vale usd 100 mas)</v>
      </c>
      <c r="D208" s="90">
        <f>'.'!F185</f>
        <v>588</v>
      </c>
      <c r="E208" s="72" t="s">
        <v>20</v>
      </c>
    </row>
    <row r="209">
      <c r="A209" s="91" t="s">
        <v>32</v>
      </c>
      <c r="B209" s="15"/>
      <c r="C209" s="15"/>
      <c r="D209" s="15"/>
      <c r="E209" s="65"/>
    </row>
    <row r="210" ht="15.0" customHeight="1">
      <c r="A210" s="25">
        <f>'.'!A187</f>
        <v>161</v>
      </c>
      <c r="B210" s="26" t="str">
        <f>'.'!C187</f>
        <v>CONSULTAR</v>
      </c>
      <c r="C210" s="27" t="str">
        <f>'.'!D187</f>
        <v>INVERSOR GOODWE Hibrido 3.6 kw monofasico GW3648D-ES </v>
      </c>
      <c r="D210" s="92">
        <f>'.'!F187</f>
        <v>1955</v>
      </c>
      <c r="E210" s="32" t="s">
        <v>20</v>
      </c>
      <c r="F210" s="41"/>
      <c r="G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</row>
    <row r="211" ht="15.0" customHeight="1">
      <c r="A211" s="25">
        <f>'.'!A188</f>
        <v>162</v>
      </c>
      <c r="B211" s="26" t="str">
        <f>'.'!C188</f>
        <v>CONSULTAR</v>
      </c>
      <c r="C211" s="27" t="str">
        <f>'.'!D188</f>
        <v>INVERSOR GOODWE Hibrido 5KW Monofásico (Batería HOME U) (5000-ES-20)</v>
      </c>
      <c r="D211" s="92">
        <f>'.'!F188</f>
        <v>1093.4</v>
      </c>
      <c r="E211" s="93" t="s">
        <v>20</v>
      </c>
      <c r="F211" s="41"/>
      <c r="G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</row>
    <row r="212" ht="15.0" customHeight="1">
      <c r="A212" s="25">
        <f>'.'!A189</f>
        <v>163</v>
      </c>
      <c r="B212" s="26" t="str">
        <f>'.'!C189</f>
        <v>CONSULTAR</v>
      </c>
      <c r="C212" s="27" t="str">
        <f>'.'!D189</f>
        <v>INVERSOR GOODWE Hibrido 6KW Monofásico (Batería HOME U) (6000-ES-20)</v>
      </c>
      <c r="D212" s="92">
        <f>'.'!F189</f>
        <v>1251.2</v>
      </c>
      <c r="E212" s="93" t="s">
        <v>20</v>
      </c>
      <c r="F212" s="41"/>
      <c r="G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</row>
    <row r="213" ht="15.0" customHeight="1">
      <c r="A213" s="25">
        <f>'.'!A190</f>
        <v>164</v>
      </c>
      <c r="B213" s="26" t="str">
        <f>'.'!C190</f>
        <v>CONSULTAR</v>
      </c>
      <c r="C213" s="27" t="str">
        <f>'.'!D190</f>
        <v>INVERSOR GOODWE Hibrido 8KW trif </v>
      </c>
      <c r="D213" s="92">
        <f>'.'!F190</f>
        <v>2035</v>
      </c>
      <c r="E213" s="94"/>
      <c r="F213" s="41"/>
      <c r="G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</row>
    <row r="214" ht="15.0" customHeight="1">
      <c r="A214" s="25">
        <f>'.'!A191</f>
        <v>165</v>
      </c>
      <c r="B214" s="26" t="str">
        <f>'.'!C191</f>
        <v>CONSULTAR</v>
      </c>
      <c r="C214" s="27" t="str">
        <f>'.'!D191</f>
        <v>INVERSOR GOODWE Hibrido 10KW trif (Batería Lynx F G2) (10KN-ET-HYB)</v>
      </c>
      <c r="D214" s="92">
        <f>'.'!F191</f>
        <v>1747.2</v>
      </c>
      <c r="E214" s="93" t="s">
        <v>20</v>
      </c>
      <c r="F214" s="41"/>
      <c r="G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</row>
    <row r="215" ht="15.0" customHeight="1">
      <c r="A215" s="25">
        <f>'.'!A192</f>
        <v>166</v>
      </c>
      <c r="B215" s="26" t="str">
        <f>'.'!C192</f>
        <v>CONSULTAR</v>
      </c>
      <c r="C215" s="27" t="str">
        <f>'.'!D192</f>
        <v>INVERSOR GOODWE Hibrido 20KW trif (Batería HOME U) (20K-ET-HYB)</v>
      </c>
      <c r="D215" s="92">
        <f>'.'!F192</f>
        <v>2856</v>
      </c>
      <c r="E215" s="32" t="s">
        <v>20</v>
      </c>
      <c r="F215" s="41"/>
      <c r="G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</row>
    <row r="216" ht="15.0" customHeight="1">
      <c r="A216" s="25">
        <f>'.'!A193</f>
        <v>167</v>
      </c>
      <c r="B216" s="26" t="str">
        <f>'.'!C193</f>
        <v>CONSULTAR</v>
      </c>
      <c r="C216" s="27" t="str">
        <f>'.'!D193</f>
        <v>INVERSOR GOODWE Hibrido 30KW trif (Batería HOME U) (30K-ET-HYB)</v>
      </c>
      <c r="D216" s="92">
        <f>'.'!F193</f>
        <v>3252.48</v>
      </c>
      <c r="E216" s="32" t="s">
        <v>20</v>
      </c>
      <c r="F216" s="41"/>
      <c r="G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</row>
    <row r="217" ht="17.25" customHeight="1">
      <c r="A217" s="91" t="s">
        <v>33</v>
      </c>
      <c r="B217" s="15"/>
      <c r="C217" s="15"/>
      <c r="D217" s="15"/>
      <c r="E217" s="65"/>
    </row>
    <row r="218" ht="17.25" customHeight="1">
      <c r="A218" s="25">
        <f>'.'!A195</f>
        <v>168</v>
      </c>
      <c r="B218" s="26" t="str">
        <f>'.'!C195</f>
        <v>INGRESA JULIO</v>
      </c>
      <c r="C218" s="27" t="str">
        <f>'.'!D195</f>
        <v>Inversor y Bateria 2500W 2560Wh 4MPPT Mono c/Wifi DEYE (SUN-BK250-2.56)</v>
      </c>
      <c r="D218" s="95">
        <f>'.'!F195</f>
        <v>1300</v>
      </c>
      <c r="E218" s="96" t="s">
        <v>20</v>
      </c>
    </row>
    <row r="219" ht="17.25" customHeight="1">
      <c r="A219" s="25">
        <f>'.'!A196</f>
        <v>169</v>
      </c>
      <c r="B219" s="26" t="str">
        <f>'.'!C196</f>
        <v>INMEDIATO</v>
      </c>
      <c r="C219" s="27" t="str">
        <f>'.'!D196</f>
        <v>Bateria Ampliacion 2000Wh hasta 6un DEYE (AE-FS2.0)</v>
      </c>
      <c r="D219" s="95">
        <f>'.'!F196</f>
        <v>750</v>
      </c>
      <c r="E219" s="97"/>
    </row>
    <row r="220" ht="17.25" customHeight="1">
      <c r="A220" s="25">
        <f>'.'!A197</f>
        <v>170</v>
      </c>
      <c r="B220" s="26" t="str">
        <f>'.'!C197</f>
        <v>INMEDIATO</v>
      </c>
      <c r="C220" s="27" t="str">
        <f>'.'!D197</f>
        <v>All In One Hibrido LV en KIT Mono 5kW/5,1kWh DEYE (AI-5P1+AI-W5.1)</v>
      </c>
      <c r="D220" s="95">
        <f>'.'!F197</f>
        <v>3253.6</v>
      </c>
      <c r="E220" s="97"/>
    </row>
    <row r="221" ht="17.25" customHeight="1">
      <c r="A221" s="25">
        <f>'.'!A198</f>
        <v>171</v>
      </c>
      <c r="B221" s="26" t="str">
        <f>'.'!C198</f>
        <v>INGRESA MAYO</v>
      </c>
      <c r="C221" s="27" t="str">
        <f>'.'!D198</f>
        <v>All In One Hibrido LV en KIT Tri 10kW/10,2kWh DEYE (AI-10P3+2xAI-W5.1)</v>
      </c>
      <c r="D221" s="95">
        <f>'.'!F198</f>
        <v>6223</v>
      </c>
      <c r="E221" s="96" t="s">
        <v>20</v>
      </c>
    </row>
    <row r="222" ht="17.25" customHeight="1">
      <c r="A222" s="25">
        <f>'.'!A199</f>
        <v>172</v>
      </c>
      <c r="B222" s="26" t="str">
        <f>'.'!C199</f>
        <v>INMEDIATO</v>
      </c>
      <c r="C222" s="27" t="str">
        <f>'.'!D199</f>
        <v>All In One Hibrido LV Inversor Mono 5kW2MPPT Mono c/CT y WiFi DEYE(AI-W5.1-5P1-EU-B)</v>
      </c>
      <c r="D222" s="95">
        <f>'.'!F199</f>
        <v>1666</v>
      </c>
      <c r="E222" s="97"/>
    </row>
    <row r="223" ht="17.25" customHeight="1">
      <c r="A223" s="25">
        <f>'.'!A200</f>
        <v>173</v>
      </c>
      <c r="B223" s="26" t="str">
        <f>'.'!C200</f>
        <v>INMEDIATO</v>
      </c>
      <c r="C223" s="27" t="str">
        <f>'.'!D200</f>
        <v>All In One Hibrido LV en KIT Mono 8kW/10,2kWh DEYE (AI-5P1+AI-W5.1)</v>
      </c>
      <c r="D223" s="95">
        <f>'.'!F200</f>
        <v>5390</v>
      </c>
      <c r="E223" s="96" t="s">
        <v>20</v>
      </c>
    </row>
    <row r="224" ht="17.25" customHeight="1">
      <c r="A224" s="25">
        <f>'.'!A201</f>
        <v>174</v>
      </c>
      <c r="B224" s="26" t="str">
        <f>'.'!C201</f>
        <v>INGRESA MAYO</v>
      </c>
      <c r="C224" s="27" t="str">
        <f>'.'!D201</f>
        <v>Inversor Hibrido LV All In One 10kW2MPPT Trif c/CT y WiFi DEYE(AI-W5.1-10P3-EU-B)</v>
      </c>
      <c r="D224" s="95">
        <f>'.'!F201</f>
        <v>3038</v>
      </c>
      <c r="E224" s="97"/>
    </row>
    <row r="225" ht="17.25" customHeight="1">
      <c r="A225" s="25">
        <f>'.'!A202</f>
        <v>175</v>
      </c>
      <c r="B225" s="26" t="str">
        <f>'.'!C202</f>
        <v>INMEDIATO</v>
      </c>
      <c r="C225" s="27" t="str">
        <f>'.'!D202</f>
        <v>DEYE 3kW 1MPPT 24v Mono c/CT y WiFi DEYE (SUN-3K-SG04LP1-24-EU) </v>
      </c>
      <c r="D225" s="95">
        <f>'.'!F202</f>
        <v>1004.5</v>
      </c>
      <c r="E225" s="93" t="s">
        <v>20</v>
      </c>
    </row>
    <row r="226">
      <c r="A226" s="25">
        <f>'.'!A203</f>
        <v>176</v>
      </c>
      <c r="B226" s="26" t="str">
        <f>'.'!C203</f>
        <v>INMEDIATO</v>
      </c>
      <c r="C226" s="27" t="str">
        <f>'.'!D203</f>
        <v>DEYE 3kW 1MPPT 48v Mono c/CT y WiFi DEYE  (SUN-3K-SG04LP1-48-EU) </v>
      </c>
      <c r="D226" s="95">
        <f>'.'!F203</f>
        <v>1004.5</v>
      </c>
      <c r="E226" s="93" t="s">
        <v>20</v>
      </c>
    </row>
    <row r="227">
      <c r="A227" s="25">
        <f>'.'!A204</f>
        <v>177</v>
      </c>
      <c r="B227" s="26" t="str">
        <f>'.'!C204</f>
        <v>INMEDIATO</v>
      </c>
      <c r="C227" s="27" t="str">
        <f>'.'!D204</f>
        <v>DEYE 3,6kW 2MPPT 48v Mono c/CT y WiFi DEYE (SUN-3.6K-SG03P1-EU)- IVA 10.5% -</v>
      </c>
      <c r="D227" s="95">
        <f>'.'!F204</f>
        <v>1078</v>
      </c>
      <c r="E227" s="93" t="s">
        <v>20</v>
      </c>
    </row>
    <row r="228" ht="19.5" customHeight="1">
      <c r="A228" s="25">
        <f>'.'!A205</f>
        <v>178</v>
      </c>
      <c r="B228" s="26" t="str">
        <f>'.'!C205</f>
        <v>INMEDIATO. </v>
      </c>
      <c r="C228" s="27" t="str">
        <f>'.'!D205</f>
        <v>DEYE LV 5kW 2MPPT 48v Mono c/CT y WiFi (SUN-5K-SG05LP1-EU-SM2-P)
</v>
      </c>
      <c r="D228" s="95">
        <f>'.'!F205</f>
        <v>1225</v>
      </c>
      <c r="E228" s="98" t="s">
        <v>20</v>
      </c>
    </row>
    <row r="229" ht="16.5" customHeight="1">
      <c r="A229" s="25">
        <f>'.'!A206</f>
        <v>181</v>
      </c>
      <c r="B229" s="26" t="str">
        <f>'.'!C206</f>
        <v>INMEDIATO</v>
      </c>
      <c r="C229" s="27" t="str">
        <f>'.'!D206</f>
        <v>DEYE LV 6kW 2MPPT 48v Mono/CT y WiFi DEYE  (SUN-6K-SG05LP1)</v>
      </c>
      <c r="D229" s="95">
        <f>'.'!F206</f>
        <v>1531.2</v>
      </c>
      <c r="E229" s="93" t="s">
        <v>20</v>
      </c>
    </row>
    <row r="230" ht="20.25" customHeight="1">
      <c r="A230" s="25">
        <f>'.'!A207</f>
        <v>180</v>
      </c>
      <c r="B230" s="26" t="str">
        <f>'.'!C207</f>
        <v>INGRESA JULIO</v>
      </c>
      <c r="C230" s="27" t="str">
        <f>'.'!D207</f>
        <v>DEYE LV 8kW 2MPPT 48v Mono c/CT y WiFi DEYE  (SUN-8K-SG05LP1-EU) -</v>
      </c>
      <c r="D230" s="95">
        <f>'.'!F207</f>
        <v>2184</v>
      </c>
      <c r="E230" s="99" t="s">
        <v>20</v>
      </c>
    </row>
    <row r="231" ht="18.0" customHeight="1">
      <c r="A231" s="25">
        <f>'.'!A208</f>
        <v>182</v>
      </c>
      <c r="B231" s="26" t="str">
        <f>'.'!C208</f>
        <v>INMEDIATO</v>
      </c>
      <c r="C231" s="27" t="str">
        <f>'.'!D208</f>
        <v>DEYE LV 5kW 2MPPT 48v trif c/CT y WiFi (SUN-5K-SG04LP3-EU) - 
</v>
      </c>
      <c r="D231" s="95">
        <f>'.'!F208</f>
        <v>2205</v>
      </c>
      <c r="E231" s="99" t="s">
        <v>20</v>
      </c>
    </row>
    <row r="232" ht="19.5" customHeight="1">
      <c r="A232" s="25">
        <f>'.'!A209</f>
        <v>183</v>
      </c>
      <c r="B232" s="26" t="str">
        <f>'.'!C209</f>
        <v>INMEDIATO</v>
      </c>
      <c r="C232" s="27" t="str">
        <f>'.'!D209</f>
        <v>DEYE LV 8kW 2MPPT 48v Trif c/CT y WiFi DEYE (SUN-8K-SG04LP3-EU)- 
</v>
      </c>
      <c r="D232" s="95">
        <f>'.'!F209</f>
        <v>2401</v>
      </c>
      <c r="E232" s="96" t="s">
        <v>20</v>
      </c>
    </row>
    <row r="233" ht="23.25" customHeight="1">
      <c r="A233" s="25">
        <f>'.'!A210</f>
        <v>184</v>
      </c>
      <c r="B233" s="26" t="str">
        <f>'.'!C210</f>
        <v>INMEDIATO</v>
      </c>
      <c r="C233" s="27" t="str">
        <f>'.'!D210</f>
        <v>DEYE LV 10kW 2MPPT 48v Trif c/CT y WiFi DEYE (SUN-10K-SG04LP3-EU-SM2)-  </v>
      </c>
      <c r="D233" s="95">
        <f>'.'!F210</f>
        <v>2401</v>
      </c>
      <c r="E233" s="96" t="s">
        <v>20</v>
      </c>
    </row>
    <row r="234" ht="17.25" customHeight="1">
      <c r="A234" s="25">
        <f>'.'!A211</f>
        <v>185</v>
      </c>
      <c r="B234" s="26" t="str">
        <f>'.'!C211</f>
        <v>INMEDIATO</v>
      </c>
      <c r="C234" s="27" t="str">
        <f>'.'!D211</f>
        <v>DEYE LV 12kW 2MPPT 48v Trif c/CT y WiFi DEYE (SUN-12K-SG05LP3-EU-SM2)
</v>
      </c>
      <c r="D234" s="95">
        <f>'.'!F211</f>
        <v>2499</v>
      </c>
      <c r="E234" s="97"/>
    </row>
    <row r="235" ht="20.25" customHeight="1">
      <c r="A235" s="25">
        <f>'.'!A212</f>
        <v>186</v>
      </c>
      <c r="B235" s="26" t="str">
        <f>'.'!C212</f>
        <v>INMEDIATO</v>
      </c>
      <c r="C235" s="27" t="str">
        <f>'.'!D212</f>
        <v>DEYE LV 15kW 2MPPT 48v Trif c/CT y WiFi DEYE (SUN-15K-SG05LP3-EU-SM2)-  
</v>
      </c>
      <c r="D235" s="95">
        <f>'.'!F212</f>
        <v>2793</v>
      </c>
      <c r="E235" s="99" t="s">
        <v>20</v>
      </c>
    </row>
    <row r="236" ht="16.5" customHeight="1">
      <c r="A236" s="25">
        <f>'.'!A213</f>
        <v>187</v>
      </c>
      <c r="B236" s="26" t="str">
        <f>'.'!C213</f>
        <v>INMEDIATO</v>
      </c>
      <c r="C236" s="27" t="str">
        <f>'.'!D213</f>
        <v>DEYE LV 20kW 2MPPT 48v Trif c/CT y WiFi DEYE (SUN-20K-SG05LP3-EU-SM2) </v>
      </c>
      <c r="D236" s="95">
        <f>'.'!F213</f>
        <v>3822</v>
      </c>
      <c r="E236" s="100"/>
    </row>
    <row r="237" ht="16.5" customHeight="1">
      <c r="A237" s="25">
        <f>'.'!A214</f>
        <v>188</v>
      </c>
      <c r="B237" s="26" t="str">
        <f>'.'!C214</f>
        <v>INMEDIATO</v>
      </c>
      <c r="C237" s="27" t="str">
        <f>'.'!D214</f>
        <v>KIT DEYE HV All In One en 10kW y 12,3kWh (GB-S10K+3xGB-LM4.0)- </v>
      </c>
      <c r="D237" s="95">
        <f>'.'!F214</f>
        <v>6664</v>
      </c>
      <c r="E237" s="101" t="s">
        <v>20</v>
      </c>
    </row>
    <row r="238" ht="18.75" customHeight="1">
      <c r="A238" s="25">
        <f>'.'!A215</f>
        <v>189</v>
      </c>
      <c r="B238" s="26" t="str">
        <f>'.'!C215</f>
        <v>INMEDIATO</v>
      </c>
      <c r="C238" s="27" t="str">
        <f>'.'!D215</f>
        <v>KIT DEYE HV All In One 10kW 2MPPT 160-700v Trif c/CT y WiFi DEYE (GB-S10K+GB-LB+Lbase)- 
</v>
      </c>
      <c r="D238" s="95">
        <f>'.'!F215</f>
        <v>2567.6</v>
      </c>
      <c r="E238" s="97"/>
      <c r="F238" s="49"/>
      <c r="G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</row>
    <row r="239">
      <c r="A239" s="25">
        <f>'.'!A216</f>
        <v>190</v>
      </c>
      <c r="B239" s="26" t="str">
        <f>'.'!C216</f>
        <v>INMEDIATO</v>
      </c>
      <c r="C239" s="27" t="str">
        <f>'.'!D216</f>
        <v>All In One Hibrido HV en KIT Tri 20kW/20,5kWh DEYE (GB-S20K+5xGB-LM4.0)</v>
      </c>
      <c r="D239" s="95">
        <f>'.'!F216</f>
        <v>10351.25</v>
      </c>
      <c r="E239" s="96" t="s">
        <v>20</v>
      </c>
      <c r="G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</row>
    <row r="240">
      <c r="A240" s="25">
        <f>'.'!A217</f>
        <v>191</v>
      </c>
      <c r="B240" s="26" t="str">
        <f>'.'!C217</f>
        <v>INMEDIATO</v>
      </c>
      <c r="C240" s="27" t="str">
        <f>'.'!D217</f>
        <v>All In One Hibrido HV Inversor Trif 20kW 2MPPT c/CT y WiFi DEYE (GB-S20K+GB-LB+Lbase)</v>
      </c>
      <c r="D240" s="95">
        <f>'.'!F217</f>
        <v>3479</v>
      </c>
      <c r="E240" s="97"/>
      <c r="G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</row>
    <row r="241">
      <c r="A241" s="25" t="str">
        <f>'.'!A218</f>
        <v>191-1</v>
      </c>
      <c r="B241" s="26" t="str">
        <f>'.'!C218</f>
        <v>INMEDIATO</v>
      </c>
      <c r="C241" s="27" t="str">
        <f>'.'!D218</f>
        <v>DEYE  HV 10kW 2MPPT 0,8kV Trif c/CT y WiFi DEYE (SUN-10K-SG01HP3-EU-AM2)</v>
      </c>
      <c r="D241" s="95">
        <f>'.'!F218</f>
        <v>1666</v>
      </c>
      <c r="E241" s="97"/>
      <c r="G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</row>
    <row r="242">
      <c r="A242" s="25">
        <f>'.'!A219</f>
        <v>192</v>
      </c>
      <c r="B242" s="26" t="str">
        <f>'.'!C219</f>
        <v>SIN FECHA ESTIMADA</v>
      </c>
      <c r="C242" s="27" t="str">
        <f>'.'!D219</f>
        <v>DEYE HV 15kW 2MPPT 160-700v Trif c/CT y WiFi DEYE (SUN-15K-SG01HP3-EU-AM2</v>
      </c>
      <c r="D242" s="95">
        <f>'.'!F219</f>
        <v>2548</v>
      </c>
      <c r="E242" s="99" t="s">
        <v>20</v>
      </c>
      <c r="G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</row>
    <row r="243">
      <c r="A243" s="25">
        <f>'.'!A220</f>
        <v>193</v>
      </c>
      <c r="B243" s="26" t="str">
        <f>'.'!C220</f>
        <v>INMEDIATO</v>
      </c>
      <c r="C243" s="27" t="str">
        <f>'.'!D220</f>
        <v>DEYE HV 20kW 2MPPT 160-700v Trif c/CT y WiFi DEYE (SUN-20K-SG01HP3-EU-AM2)- CONSULTAR DESCUENTOS ESPECIALES POR VOLUMEN</v>
      </c>
      <c r="D243" s="95">
        <f>'.'!F220</f>
        <v>2783.2</v>
      </c>
      <c r="E243" s="97"/>
      <c r="F243" s="41"/>
      <c r="G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</row>
    <row r="244">
      <c r="A244" s="25">
        <f>'.'!A221</f>
        <v>194</v>
      </c>
      <c r="B244" s="26" t="str">
        <f>'.'!C221</f>
        <v>INGRESA AGOSTO</v>
      </c>
      <c r="C244" s="27" t="str">
        <f>'.'!D221</f>
        <v>DEYE HV 25kW 2MPPT 160-700v Trif c/CT y WiFi DEYE (SUN-25K-SG01HP3-EU-AM2) -</v>
      </c>
      <c r="D244" s="95">
        <f>'.'!F221</f>
        <v>2842</v>
      </c>
      <c r="E244" s="97"/>
      <c r="F244" s="41"/>
      <c r="G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</row>
    <row r="245">
      <c r="A245" s="25">
        <f>'.'!A222</f>
        <v>195</v>
      </c>
      <c r="B245" s="26" t="str">
        <f>'.'!C222</f>
        <v>INMEDIATO</v>
      </c>
      <c r="C245" s="27" t="str">
        <f>'.'!D222</f>
        <v>DEYE HV 30kW 3MPPT 2entrad bat 160-700v Trif c/CT y WiFi DEYE  (SUN-30K-SG01HP3-EU-BM3)</v>
      </c>
      <c r="D245" s="95">
        <f>'.'!F222</f>
        <v>5047</v>
      </c>
      <c r="E245" s="99" t="s">
        <v>20</v>
      </c>
      <c r="F245" s="41"/>
      <c r="G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</row>
    <row r="246">
      <c r="A246" s="25">
        <f>'.'!A223</f>
        <v>196</v>
      </c>
      <c r="B246" s="26" t="str">
        <f>'.'!C223</f>
        <v>INMEDIATO</v>
      </c>
      <c r="C246" s="27" t="str">
        <f>'.'!D223</f>
        <v>DEYE HV 50kW 4MPPT 2entrad bat 160-700v Trif c/CT y WiFi DEYE  (SUN-50K-SG01P3-EU-BM4)- CONSULTAR DESCUENTOS ESPECIALES POR VOLUMEN</v>
      </c>
      <c r="D246" s="95">
        <f>'.'!F223</f>
        <v>6272</v>
      </c>
      <c r="E246" s="99" t="s">
        <v>20</v>
      </c>
      <c r="F246" s="41"/>
      <c r="G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</row>
    <row r="247">
      <c r="A247" s="25">
        <f>'.'!A224</f>
        <v>197</v>
      </c>
      <c r="B247" s="26" t="str">
        <f>'.'!C224</f>
        <v>INMEDIATO</v>
      </c>
      <c r="C247" s="27" t="str">
        <f>'.'!D224</f>
        <v>DEYE HV 60kW 6MPPT 2BAT1kV Trif c/CT y WiFi DEYE (SUN-60K-SG02HP3-EU-EM6)</v>
      </c>
      <c r="D247" s="95">
        <f>'.'!F224</f>
        <v>8624</v>
      </c>
      <c r="E247" s="96" t="s">
        <v>20</v>
      </c>
      <c r="F247" s="41"/>
      <c r="G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</row>
    <row r="248">
      <c r="A248" s="25">
        <f>'.'!A225</f>
        <v>198</v>
      </c>
      <c r="B248" s="26" t="str">
        <f>'.'!C225</f>
        <v>INMEDIATO</v>
      </c>
      <c r="C248" s="27" t="str">
        <f>'.'!D225</f>
        <v>DEYE HV 80kW 6MPPT 2BAT1kV Trif c/CT y WiFi DEYE (SUN-80K-SG02HP3-EU-EM6)</v>
      </c>
      <c r="D248" s="95">
        <f>'.'!F225</f>
        <v>9800</v>
      </c>
      <c r="E248" s="96" t="s">
        <v>20</v>
      </c>
      <c r="F248" s="41"/>
      <c r="G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</row>
    <row r="249">
      <c r="A249" s="25" t="str">
        <f>'.'!A226</f>
        <v>198-1</v>
      </c>
      <c r="B249" s="26" t="str">
        <f>'.'!C226</f>
        <v>INGRESA AGOSTO</v>
      </c>
      <c r="C249" s="27" t="str">
        <f>'.'!D226</f>
        <v>DEYE HV 100kW 8MPPT 2BAT 1kV Trif c/CT y WiFi DEYE (SUN-100K-SG02HP3-EU-GM8)</v>
      </c>
      <c r="D249" s="95">
        <f>'.'!F226</f>
        <v>10290</v>
      </c>
      <c r="E249" s="102"/>
      <c r="F249" s="41"/>
      <c r="G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</row>
    <row r="250">
      <c r="A250" s="25" t="str">
        <f>'.'!A227</f>
        <v>198-2</v>
      </c>
      <c r="B250" s="26" t="str">
        <f>'.'!C227</f>
        <v>INGRESA AGOSTO</v>
      </c>
      <c r="C250" s="27" t="str">
        <f>'.'!D227</f>
        <v>DEYE HV 125kW 10MPPT 2BAT 1kV Trif c/CT y WiFi DEYE (SUN-125K-SG02HP3-EU-GM10)</v>
      </c>
      <c r="D250" s="95">
        <f>'.'!F227</f>
        <v>10780</v>
      </c>
      <c r="E250" s="102"/>
      <c r="F250" s="41"/>
      <c r="G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</row>
    <row r="251">
      <c r="A251" s="25">
        <f>'.'!A228</f>
        <v>199</v>
      </c>
      <c r="B251" s="26" t="str">
        <f>'.'!C228</f>
        <v>CONSULTAR</v>
      </c>
      <c r="C251" s="27" t="str">
        <f>'.'!D228</f>
        <v>Inversor Cargador PCS 100kW (DC 175A) DEYE (SUN-100K-PCSL01HP3)</v>
      </c>
      <c r="D251" s="95">
        <f>'.'!F228</f>
        <v>6272</v>
      </c>
      <c r="E251" s="97"/>
      <c r="F251" s="41"/>
      <c r="G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</row>
    <row r="252">
      <c r="A252" s="25">
        <f>'.'!A229</f>
        <v>200</v>
      </c>
      <c r="B252" s="26" t="str">
        <f>'.'!C229</f>
        <v>CONSULTAR</v>
      </c>
      <c r="C252" s="27" t="str">
        <f>'.'!D229</f>
        <v>Inversor Cargador PCS 125kW (DC 220A) DEYE (SUN-125K-PCSL01HP3)</v>
      </c>
      <c r="D252" s="95">
        <f>'.'!F229</f>
        <v>6272</v>
      </c>
      <c r="E252" s="97"/>
      <c r="F252" s="41"/>
      <c r="G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</row>
    <row r="253">
      <c r="A253" s="25">
        <f>'.'!A230</f>
        <v>201</v>
      </c>
      <c r="B253" s="26" t="str">
        <f>'.'!C230</f>
        <v>CONSULTAR</v>
      </c>
      <c r="C253" s="27" t="str">
        <f>'.'!D230</f>
        <v>MPPT 200kW 8x 40A DEYE (SUN-MPPT-L01-EU-AM8)</v>
      </c>
      <c r="D253" s="95">
        <f>'.'!F230</f>
        <v>2511.25</v>
      </c>
      <c r="E253" s="97"/>
      <c r="F253" s="41"/>
      <c r="G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</row>
    <row r="254">
      <c r="A254" s="25">
        <f>'.'!A231</f>
        <v>202</v>
      </c>
      <c r="B254" s="26" t="str">
        <f>'.'!C231</f>
        <v>CONSULTAR</v>
      </c>
      <c r="C254" s="27" t="str">
        <f>'.'!D231</f>
        <v>Sistema transferencia STS 500kW 10ms DEYE (SUN-STS500L)</v>
      </c>
      <c r="D254" s="95">
        <f>'.'!F231</f>
        <v>8500</v>
      </c>
      <c r="E254" s="97"/>
      <c r="F254" s="41"/>
      <c r="G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</row>
    <row r="255">
      <c r="A255" s="91" t="s">
        <v>34</v>
      </c>
      <c r="B255" s="15"/>
      <c r="C255" s="15"/>
      <c r="D255" s="15"/>
      <c r="E255" s="65"/>
      <c r="F255" s="41"/>
      <c r="G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</row>
    <row r="256">
      <c r="A256" s="25">
        <f>'.'!A233</f>
        <v>203</v>
      </c>
      <c r="B256" s="26" t="str">
        <f>'.'!C233</f>
        <v>A PEDIDO</v>
      </c>
      <c r="C256" s="27" t="str">
        <f>'.'!D233</f>
        <v>Cab IP55 Solo Bat 128,6kWh 8000Cic + AA + DyE INC. DEYE (GE-F128)</v>
      </c>
      <c r="D256" s="103">
        <v>27500.0</v>
      </c>
      <c r="E256" s="96" t="s">
        <v>20</v>
      </c>
      <c r="F256" s="41"/>
      <c r="G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</row>
    <row r="257">
      <c r="A257" s="25">
        <f>'.'!A234</f>
        <v>204</v>
      </c>
      <c r="B257" s="26" t="str">
        <f>'.'!C234</f>
        <v>A PEDIDO</v>
      </c>
      <c r="C257" s="27" t="str">
        <f>'.'!D234</f>
        <v>Cab IP55 Solo Bat 214,2kWh 8000Cic + AA + DyE INC. DEYE (GE-F240)</v>
      </c>
      <c r="D257" s="103">
        <v>49500.0</v>
      </c>
      <c r="E257" s="96" t="s">
        <v>20</v>
      </c>
      <c r="F257" s="41"/>
      <c r="G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</row>
    <row r="258">
      <c r="A258" s="25">
        <f>'.'!A235</f>
        <v>205</v>
      </c>
      <c r="B258" s="26" t="str">
        <f>'.'!C235</f>
        <v>A PEDIDO</v>
      </c>
      <c r="C258" s="27" t="str">
        <f>'.'!D235</f>
        <v>Cab IP54 PCS 100kW/215kWh MPPT 200kW + AA + DyE INC. DEYE (MS-GS215-2H2)</v>
      </c>
      <c r="D258" s="103">
        <v>75000.0</v>
      </c>
      <c r="E258" s="96" t="s">
        <v>20</v>
      </c>
      <c r="F258" s="41"/>
      <c r="G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</row>
    <row r="259">
      <c r="A259" s="25">
        <f>'.'!A236</f>
        <v>206</v>
      </c>
      <c r="B259" s="26" t="str">
        <f>'.'!C236</f>
        <v>A PEDIDO</v>
      </c>
      <c r="C259" s="27" t="str">
        <f>'.'!D236</f>
        <v>Cab IP54 Sist. Transf. STS 500kW10ms GRID+GEN+LOAD DEYE(MS-TS500-2)</v>
      </c>
      <c r="D259" s="103">
        <f>'.'!F236</f>
        <v>22000</v>
      </c>
      <c r="E259" s="97"/>
      <c r="F259" s="41"/>
      <c r="G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</row>
    <row r="260">
      <c r="A260" s="25">
        <f>'.'!A237</f>
        <v>207</v>
      </c>
      <c r="B260" s="26" t="str">
        <f>'.'!C237</f>
        <v>A PEDIDO</v>
      </c>
      <c r="C260" s="27" t="str">
        <f>'.'!D237</f>
        <v>Cab IP54 PCS 200kW/430kWh + AALQ+ DyE INC DEYE(MS-L430-2H3)</v>
      </c>
      <c r="D260" s="103">
        <f>'.'!F237</f>
        <v>140000</v>
      </c>
      <c r="E260" s="96" t="s">
        <v>20</v>
      </c>
      <c r="F260" s="41"/>
      <c r="G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</row>
    <row r="261">
      <c r="A261" s="25">
        <f>'.'!A238</f>
        <v>208</v>
      </c>
      <c r="B261" s="26" t="str">
        <f>'.'!C238</f>
        <v>A PEDIDO</v>
      </c>
      <c r="C261" s="27" t="str">
        <f>'.'!D238</f>
        <v>Cab IP54 Solo Bateria 430kWh + AALQ+ DyE INC DEYE(MS-L430-BC-3)</v>
      </c>
      <c r="D261" s="103">
        <f>'.'!F238</f>
        <v>115000</v>
      </c>
      <c r="E261" s="96" t="s">
        <v>20</v>
      </c>
      <c r="F261" s="41"/>
      <c r="G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</row>
    <row r="262">
      <c r="A262" s="25">
        <f>'.'!A239</f>
        <v>209</v>
      </c>
      <c r="B262" s="26" t="str">
        <f>'.'!C239</f>
        <v>A PEDIDO</v>
      </c>
      <c r="C262" s="27" t="str">
        <f>'.'!D239</f>
        <v>Cab IP54 Convertidor DC-DC 420kW +DyE INC DEYE(MS-DS420-2)</v>
      </c>
      <c r="D262" s="103">
        <f>'.'!F239</f>
        <v>77000</v>
      </c>
      <c r="E262" s="96" t="s">
        <v>20</v>
      </c>
      <c r="F262" s="41"/>
      <c r="G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</row>
    <row r="263">
      <c r="A263" s="25">
        <f>'.'!A240</f>
        <v>210</v>
      </c>
      <c r="B263" s="26" t="str">
        <f>'.'!C240</f>
        <v>A PEDIDO</v>
      </c>
      <c r="C263" s="27" t="str">
        <f>'.'!D240</f>
        <v>Cab IP54 Cargador VE Ultra RapidoDoble DEYE(MS-DCC180-2)</v>
      </c>
      <c r="D263" s="103">
        <f>'.'!F240</f>
        <v>16800</v>
      </c>
      <c r="E263" s="96" t="s">
        <v>20</v>
      </c>
      <c r="F263" s="41"/>
      <c r="G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</row>
    <row r="264">
      <c r="A264" s="25">
        <f>'.'!A241</f>
        <v>211</v>
      </c>
      <c r="B264" s="26" t="str">
        <f>'.'!C241</f>
        <v>A PEDIDO</v>
      </c>
      <c r="C264" s="27" t="str">
        <f>'.'!D241</f>
        <v>Cab IP54 Sistema ATS con MPPT200kW 8x 40A DEYE(MS-MPPT400-2)</v>
      </c>
      <c r="D264" s="103">
        <f>'.'!F241</f>
        <v>28700</v>
      </c>
      <c r="E264" s="96" t="s">
        <v>20</v>
      </c>
      <c r="F264" s="41"/>
      <c r="G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</row>
    <row r="265">
      <c r="A265" s="25">
        <f>'.'!A242</f>
        <v>212</v>
      </c>
      <c r="B265" s="26" t="str">
        <f>'.'!C242</f>
        <v>A PEDIDO</v>
      </c>
      <c r="C265" s="27" t="str">
        <f>'.'!D242</f>
        <v>Cab IP54 EMS - Energy ManagerSystem DEYE(MS-EMS 1000)</v>
      </c>
      <c r="D265" s="103">
        <f>'.'!F242</f>
        <v>3900</v>
      </c>
      <c r="E265" s="97"/>
      <c r="F265" s="41"/>
      <c r="G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</row>
    <row r="266" ht="16.5" customHeight="1">
      <c r="A266" s="104" t="s">
        <v>35</v>
      </c>
      <c r="B266" s="15"/>
      <c r="C266" s="15"/>
      <c r="D266" s="15"/>
      <c r="E266" s="65"/>
      <c r="F266" s="41"/>
      <c r="G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</row>
    <row r="267" ht="16.5" customHeight="1">
      <c r="A267" s="25">
        <f>'.'!A244</f>
        <v>213</v>
      </c>
      <c r="B267" s="26" t="str">
        <f>'.'!C244</f>
        <v>INMEDIATO</v>
      </c>
      <c r="C267" s="27" t="str">
        <f>'.'!D244</f>
        <v>Inversor Hibrido Monofásico Modelo MIN 3000TL-XH </v>
      </c>
      <c r="D267" s="95">
        <f>'.'!F244</f>
        <v>690.46</v>
      </c>
      <c r="E267" s="97"/>
      <c r="F267" s="41"/>
      <c r="G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</row>
    <row r="268" ht="16.5" customHeight="1">
      <c r="A268" s="25">
        <f>'.'!A245</f>
        <v>214</v>
      </c>
      <c r="B268" s="26" t="str">
        <f>'.'!C245</f>
        <v>INMEDIATO</v>
      </c>
      <c r="C268" s="27" t="str">
        <f>'.'!D245</f>
        <v>Inversor Híbrido Monofásico/Cargador, Growatt SPH3000, Onda Senoidal Pura en Off Grid, 3000W/3000VA, 3000W en EPS; Bat: 48VDC, PV: 2 MPPT 1 Ent, Max: 6600W/550V/12A. Menú por botonera para configuración.</v>
      </c>
      <c r="D268" s="95">
        <v>1200.0</v>
      </c>
      <c r="E268" s="99" t="s">
        <v>20</v>
      </c>
      <c r="F268" s="41"/>
      <c r="G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</row>
    <row r="269" ht="16.5" customHeight="1">
      <c r="A269" s="25">
        <f>'.'!A246</f>
        <v>215</v>
      </c>
      <c r="B269" s="26" t="str">
        <f>'.'!C246</f>
        <v>INMEDIATO</v>
      </c>
      <c r="C269" s="27" t="str">
        <f>'.'!D246</f>
        <v>Inversor Híbrido Monofásico/Cargador, Growatt SPH5000, Onda Senoidal Pura en Off Grid, 5000W/5000VA, 3000W en EPS; Bat: 48VDC, PV: 2 MPPT 1 Ent, Max: 8000W/550V/12A. Menú por botonera para configuración.</v>
      </c>
      <c r="D269" s="95">
        <v>1400.0</v>
      </c>
      <c r="E269" s="99" t="s">
        <v>20</v>
      </c>
      <c r="F269" s="41"/>
      <c r="G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</row>
    <row r="270" ht="16.5" customHeight="1">
      <c r="A270" s="25">
        <f>'.'!A247</f>
        <v>216</v>
      </c>
      <c r="B270" s="26" t="str">
        <f>'.'!C247</f>
        <v>INMEDIATO</v>
      </c>
      <c r="C270" s="27" t="str">
        <f>'.'!D247</f>
        <v>Inversor Híbrido Trifasico/Cargador, Growatt SPH10000TL3, Onda Senoidal Pura en Off Grid, 10000W/10000VA, 10000W en EPS; Bat: 100~550VDC, PV: 2 MPPT 1 Ent, Max: 13000W/1000V/12A. Menú por botonera para configuración.</v>
      </c>
      <c r="D270" s="95">
        <v>2800.0</v>
      </c>
      <c r="E270" s="99" t="s">
        <v>20</v>
      </c>
      <c r="F270" s="41"/>
      <c r="G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</row>
    <row r="271" ht="16.5" customHeight="1">
      <c r="A271" s="91" t="s">
        <v>36</v>
      </c>
      <c r="B271" s="15"/>
      <c r="C271" s="15"/>
      <c r="D271" s="15"/>
      <c r="E271" s="65"/>
      <c r="F271" s="41"/>
      <c r="G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</row>
    <row r="272" ht="16.5" customHeight="1">
      <c r="A272" s="25">
        <f>'.'!A249</f>
        <v>217</v>
      </c>
      <c r="B272" s="26" t="str">
        <f>'.'!C249</f>
        <v>SIN FECHA ESTIMADA</v>
      </c>
      <c r="C272" s="27" t="str">
        <f>'.'!D249</f>
        <v>Inversor OnGrid Battery Ready de 10kW con 2MPPT - Compatible con Baterías ARK HV (hasta 60kWh) </v>
      </c>
      <c r="D272" s="95" t="str">
        <f>'.'!F249</f>
        <v/>
      </c>
      <c r="E272" s="97"/>
      <c r="F272" s="41"/>
      <c r="G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</row>
    <row r="273" ht="16.5" customHeight="1">
      <c r="A273" s="25">
        <f>'.'!A250</f>
        <v>218</v>
      </c>
      <c r="B273" s="26" t="str">
        <f>'.'!C250</f>
        <v>SIN FECHA ESTIMADA</v>
      </c>
      <c r="C273" s="27" t="str">
        <f>'.'!D250</f>
        <v>Inversor OnGrid Battery Ready de 30kW con 3MPPT - Compatible con Baterías ARK HV (hasta 60kWh) </v>
      </c>
      <c r="D273" s="95">
        <f>'.'!F250</f>
        <v>2956.8</v>
      </c>
      <c r="E273" s="97"/>
      <c r="F273" s="41"/>
      <c r="G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</row>
    <row r="274" ht="16.5" customHeight="1">
      <c r="A274" s="25">
        <f>'.'!A251</f>
        <v>219</v>
      </c>
      <c r="B274" s="26" t="str">
        <f>'.'!C251</f>
        <v>SIN FECHA ESTIMADA</v>
      </c>
      <c r="C274" s="27" t="str">
        <f>'.'!D251</f>
        <v>Tablero de transferencia automática - Hasta 10kW - Compatible MOD XH &amp; MID XH - 100% desbalance de fases -</v>
      </c>
      <c r="D274" s="95" t="str">
        <f>'.'!F251</f>
        <v/>
      </c>
      <c r="E274" s="97"/>
      <c r="F274" s="41"/>
      <c r="G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</row>
    <row r="275" ht="16.5" customHeight="1">
      <c r="A275" s="25">
        <f>'.'!A252</f>
        <v>220</v>
      </c>
      <c r="B275" s="26" t="str">
        <f>'.'!C252</f>
        <v>INMEDIATO</v>
      </c>
      <c r="C275" s="27" t="str">
        <f>'.'!D252</f>
        <v>Tablero de transferencia automática - Hasta 40kW - Compatible MOD XH &amp; MID XH - 100% desbalance de fases -</v>
      </c>
      <c r="D275" s="95">
        <v>700.0</v>
      </c>
      <c r="E275" s="97"/>
      <c r="F275" s="41"/>
      <c r="G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</row>
    <row r="276" ht="16.5" customHeight="1">
      <c r="A276" s="25">
        <f>'.'!A253</f>
        <v>221</v>
      </c>
      <c r="B276" s="26" t="str">
        <f>'.'!C253</f>
        <v>INMEDIATO</v>
      </c>
      <c r="C276" s="27" t="str">
        <f>'.'!D253</f>
        <v>Batería de Litio Growatt 5kwh APX 5.0P-B1 51,2V(385V) 100Ah, Soporta hasta 6 en paralelo, Compatible con inversores MOD XH &amp; MID XH</v>
      </c>
      <c r="D276" s="95">
        <v>1366.0</v>
      </c>
      <c r="E276" s="97"/>
      <c r="F276" s="41"/>
      <c r="G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</row>
    <row r="277" ht="16.5" customHeight="1">
      <c r="A277" s="25">
        <f>'.'!A254</f>
        <v>222</v>
      </c>
      <c r="B277" s="26" t="str">
        <f>'.'!C254</f>
        <v>SIN FECHA ESTIMADA</v>
      </c>
      <c r="C277" s="27" t="str">
        <f>'.'!D254</f>
        <v>Modulo de potencia. Compatible con inversores MOD XH &amp; MID XH - 10 años de garantía</v>
      </c>
      <c r="D277" s="95">
        <f>'.'!F254</f>
        <v>1760</v>
      </c>
      <c r="E277" s="97"/>
      <c r="F277" s="41"/>
      <c r="G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</row>
    <row r="278" ht="16.5" customHeight="1">
      <c r="A278" s="25">
        <f>'.'!A255</f>
        <v>223</v>
      </c>
      <c r="B278" s="26" t="str">
        <f>'.'!C255</f>
        <v>INMEDIATO</v>
      </c>
      <c r="C278" s="27" t="str">
        <f>'.'!D255</f>
        <v>Base para instalar batería APX 5.0P sobre el suelo</v>
      </c>
      <c r="D278" s="95">
        <f>'.'!F255</f>
        <v>117.04</v>
      </c>
      <c r="E278" s="97"/>
      <c r="F278" s="41"/>
      <c r="G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</row>
    <row r="279" ht="16.5" customHeight="1">
      <c r="A279" s="25">
        <f>'.'!A256</f>
        <v>224</v>
      </c>
      <c r="B279" s="26" t="str">
        <f>'.'!C256</f>
        <v>INMEDIATO</v>
      </c>
      <c r="C279" s="27" t="str">
        <f>'.'!D256</f>
        <v>Cable de extensión de paralelización para montar 1 sistema de APX en 2 torres</v>
      </c>
      <c r="D279" s="95">
        <f>'.'!F256</f>
        <v>55</v>
      </c>
      <c r="E279" s="97"/>
      <c r="F279" s="41"/>
      <c r="G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</row>
    <row r="280" ht="16.5" customHeight="1">
      <c r="A280" s="25">
        <f>'.'!A257</f>
        <v>225</v>
      </c>
      <c r="B280" s="26" t="str">
        <f>'.'!C257</f>
        <v>INMEDIATO</v>
      </c>
      <c r="C280" s="27" t="str">
        <f>'.'!D257</f>
        <v>Cable de comunicación en cascada para montar 2 APX</v>
      </c>
      <c r="D280" s="95">
        <f>'.'!F257</f>
        <v>55</v>
      </c>
      <c r="E280" s="97"/>
      <c r="F280" s="41"/>
      <c r="G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</row>
    <row r="281">
      <c r="A281" s="105" t="s">
        <v>37</v>
      </c>
      <c r="B281" s="15"/>
      <c r="C281" s="15"/>
      <c r="D281" s="15"/>
      <c r="E281" s="65"/>
    </row>
    <row r="282" ht="19.5" customHeight="1">
      <c r="A282" s="106">
        <f>'.'!A259</f>
        <v>226</v>
      </c>
      <c r="B282" s="26" t="str">
        <f>'.'!C259</f>
        <v>INMEDIATO</v>
      </c>
      <c r="C282" s="27" t="str">
        <f>'.'!D259</f>
        <v>DEYE LV Litio LiFePO4 Wall IP65 2,51kWh 25,1v 100Ah c/ Con (RW-L2.5)</v>
      </c>
      <c r="D282" s="69">
        <f>'.'!F259</f>
        <v>1127</v>
      </c>
      <c r="E282" s="86" t="s">
        <v>20</v>
      </c>
    </row>
    <row r="283" ht="19.5" customHeight="1">
      <c r="A283" s="106">
        <f>'.'!A260</f>
        <v>227</v>
      </c>
      <c r="B283" s="26" t="str">
        <f>'.'!C260</f>
        <v>INMEDIATO</v>
      </c>
      <c r="C283" s="27" t="str">
        <f>'.'!D260</f>
        <v>DEYE LV Litio LiFePO4 Wall/Floor 2,56kWh 25,6v 100Ah DEYE (WD-G24100) </v>
      </c>
      <c r="D283" s="69">
        <f>'.'!F260</f>
        <v>737.5</v>
      </c>
      <c r="E283" s="66"/>
    </row>
    <row r="284">
      <c r="A284" s="106">
        <f>'.'!A261</f>
        <v>228</v>
      </c>
      <c r="B284" s="26" t="str">
        <f>'.'!C261</f>
        <v>INMEDIATO</v>
      </c>
      <c r="C284" s="27" t="str">
        <f>'.'!D261</f>
        <v>DEYE LV Litio LiFePO4 Floor/Wall IP65 4,91kWh 51,2v 96Ah (PC)  (SUNB-5.0-G01-48-PC) </v>
      </c>
      <c r="D284" s="69">
        <f>'.'!F261</f>
        <v>2000</v>
      </c>
      <c r="E284" s="107" t="s">
        <v>20</v>
      </c>
    </row>
    <row r="285">
      <c r="A285" s="106">
        <f>'.'!A262</f>
        <v>229</v>
      </c>
      <c r="B285" s="26" t="str">
        <f>'.'!C262</f>
        <v>INGRESA JULIO</v>
      </c>
      <c r="C285" s="27" t="str">
        <f>'.'!D262</f>
        <v>DEYE LV Litio LiFePO4 Rack 5,1kWh 51,2v 100Ah c/ conector DEYE  (SE-G5.1) (0.5 C)</v>
      </c>
      <c r="D285" s="69">
        <f>'.'!F262</f>
        <v>1176</v>
      </c>
      <c r="E285" s="108" t="s">
        <v>20</v>
      </c>
      <c r="F285" s="41"/>
      <c r="G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</row>
    <row r="286">
      <c r="A286" s="106">
        <f>'.'!A263</f>
        <v>230</v>
      </c>
      <c r="B286" s="26" t="str">
        <f>'.'!C263</f>
        <v>CONSULTAR</v>
      </c>
      <c r="C286" s="27" t="str">
        <f>'.'!D263</f>
        <v>DEYE LV LiFePO4 Rack 10,2kWh 51,2v 200Ah c/ Prot DEYE (SE-G10.2)</v>
      </c>
      <c r="D286" s="69">
        <f>'.'!F263</f>
        <v>2254</v>
      </c>
      <c r="E286" s="33"/>
      <c r="F286" s="41"/>
      <c r="G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</row>
    <row r="287">
      <c r="A287" s="106">
        <f>'.'!A264</f>
        <v>231</v>
      </c>
      <c r="B287" s="26" t="str">
        <f>'.'!C264</f>
        <v>INMEDIATO. Poco stock</v>
      </c>
      <c r="C287" s="27" t="str">
        <f>'.'!D264</f>
        <v>DEYE LV Litio LiFePO4 Rack 5,1kWh 51,2v 100Ah c/ Con y Prot DEYE (SE-G5.1Pro-B) (1 C)</v>
      </c>
      <c r="D287" s="69">
        <f>'.'!F264</f>
        <v>1524.9</v>
      </c>
      <c r="E287" s="32" t="s">
        <v>20</v>
      </c>
      <c r="F287" s="41"/>
      <c r="G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</row>
    <row r="288">
      <c r="A288" s="106">
        <f>'.'!A265</f>
        <v>232</v>
      </c>
      <c r="B288" s="26" t="str">
        <f>'.'!C265</f>
        <v>SIN FECHA ESTIMADA</v>
      </c>
      <c r="C288" s="27" t="str">
        <f>'.'!D265</f>
        <v>DEYE LV Litio LiFePO4 Rack 5,3kWh 51,2v 104Ah c/ Prot  (RW-M5.3 Pro)</v>
      </c>
      <c r="D288" s="69">
        <f>'.'!F265</f>
        <v>1470</v>
      </c>
      <c r="E288" s="33"/>
      <c r="F288" s="49"/>
      <c r="G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</row>
    <row r="289">
      <c r="A289" s="106">
        <f>'.'!A266</f>
        <v>233</v>
      </c>
      <c r="B289" s="26" t="str">
        <f>'.'!C266</f>
        <v>INMEDIATO</v>
      </c>
      <c r="C289" s="27" t="str">
        <f>'.'!D266</f>
        <v>DEYE LV LiFePO4 Apilable IP65 5,1kWh 51,2v 100Ah DEYE (AI-W5.1-B)</v>
      </c>
      <c r="D289" s="69">
        <f>'.'!F266</f>
        <v>1617</v>
      </c>
      <c r="E289" s="72" t="s">
        <v>20</v>
      </c>
      <c r="F289" s="41"/>
      <c r="G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</row>
    <row r="290">
      <c r="A290" s="106">
        <f>'.'!A267</f>
        <v>234</v>
      </c>
      <c r="B290" s="26" t="str">
        <f>'.'!C267</f>
        <v>INMEDIATO</v>
      </c>
      <c r="C290" s="27" t="str">
        <f>'.'!D267</f>
        <v>DEYE LV Litio LiFePO4 Wall/Rack 5,1kWh 51,2v 100Ah s/ Prot DEYE (SE-F5-L) (1 C)</v>
      </c>
      <c r="D290" s="69">
        <f>'.'!F267</f>
        <v>1089</v>
      </c>
      <c r="E290" s="72" t="s">
        <v>20</v>
      </c>
      <c r="F290" s="41"/>
      <c r="G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</row>
    <row r="291">
      <c r="A291" s="106">
        <f>'.'!A268</f>
        <v>235</v>
      </c>
      <c r="B291" s="26" t="str">
        <f>'.'!C268</f>
        <v>INMEDIATO</v>
      </c>
      <c r="C291" s="27" t="str">
        <f>'.'!D268</f>
        <v>DEYE LV LiFePO4 Wall/Apil 5,1kWh 51,2v 100Ah c/ Prot y Display DEYE (SE-F5 Pro)</v>
      </c>
      <c r="D291" s="69">
        <f>'.'!F268</f>
        <v>1336.5</v>
      </c>
      <c r="E291" s="72" t="s">
        <v>20</v>
      </c>
      <c r="F291" s="41"/>
      <c r="G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</row>
    <row r="292">
      <c r="A292" s="106">
        <f>'.'!A269</f>
        <v>236</v>
      </c>
      <c r="B292" s="26" t="str">
        <f>'.'!C269</f>
        <v>INMEDIATO</v>
      </c>
      <c r="C292" s="27" t="str">
        <f>'.'!D269</f>
        <v>DEYE LV LiFePO4 Wall/Apil 12kWh 51,2v 230Ah s/ Prot DEYE (SE-F12-L)</v>
      </c>
      <c r="D292" s="69">
        <f>'.'!F269</f>
        <v>2450</v>
      </c>
      <c r="E292" s="72" t="s">
        <v>20</v>
      </c>
      <c r="F292" s="41"/>
      <c r="G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</row>
    <row r="293">
      <c r="A293" s="106">
        <f>'.'!A270</f>
        <v>237</v>
      </c>
      <c r="B293" s="26" t="str">
        <f>'.'!C270</f>
        <v>INMEDIATO</v>
      </c>
      <c r="C293" s="27" t="str">
        <f>'.'!D270</f>
        <v>DEYE LV  LiFePO4 Wall/Apil 16,1kWh 51,2v 314Ah s/ Prot DEYE (SE-F16-L)</v>
      </c>
      <c r="D293" s="69">
        <f>'.'!F270</f>
        <v>2842</v>
      </c>
      <c r="E293" s="72" t="s">
        <v>20</v>
      </c>
      <c r="F293" s="41"/>
      <c r="G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</row>
    <row r="294">
      <c r="A294" s="106">
        <f>'.'!A271</f>
        <v>238</v>
      </c>
      <c r="B294" s="26" t="str">
        <f>'.'!C271</f>
        <v>INMEDIATO</v>
      </c>
      <c r="C294" s="27" t="str">
        <f>'.'!D271</f>
        <v>DEYE LV  LiFePO4 IP65 16,1kWh 51,2v 314Ah c/ Prot, Rue y Disp DEYE (SE-F16 Max)</v>
      </c>
      <c r="D294" s="69">
        <f>'.'!F271</f>
        <v>3096.8</v>
      </c>
      <c r="E294" s="72" t="s">
        <v>20</v>
      </c>
      <c r="F294" s="41"/>
      <c r="G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</row>
    <row r="295">
      <c r="A295" s="106">
        <f>'.'!A272</f>
        <v>239</v>
      </c>
      <c r="B295" s="26" t="str">
        <f>'.'!C272</f>
        <v>SIN FECHA ESTIMADA</v>
      </c>
      <c r="C295" s="27" t="str">
        <f>'.'!D272</f>
        <v>DEYE HV Litio LiFePO4 Piso 4,1kWh 102,4v 40Ah IP65 DEYE  (GB-LM4.0)</v>
      </c>
      <c r="D295" s="69">
        <f>'.'!F272</f>
        <v>1450</v>
      </c>
      <c r="E295" s="32" t="s">
        <v>20</v>
      </c>
    </row>
    <row r="296">
      <c r="A296" s="106">
        <f>'.'!A273</f>
        <v>240</v>
      </c>
      <c r="B296" s="26" t="str">
        <f>'.'!C273</f>
        <v>INGRESO JULIO</v>
      </c>
      <c r="C296" s="27" t="str">
        <f>'.'!D273</f>
        <v>DEYE HV Litio LiFePO4 HV PRO 4,1kWh 102,4v 40Ah IP65 DEYE (GB-L-Pro-Pack4.1-2)</v>
      </c>
      <c r="D296" s="69">
        <f>'.'!F273</f>
        <v>1375</v>
      </c>
      <c r="E296" s="31" t="s">
        <v>20</v>
      </c>
    </row>
    <row r="297">
      <c r="A297" s="106">
        <f>'.'!A274</f>
        <v>241</v>
      </c>
      <c r="B297" s="26" t="str">
        <f>'.'!C274</f>
        <v>INGRESA AGOSTO</v>
      </c>
      <c r="C297" s="27" t="str">
        <f>'.'!D274</f>
        <v>DEYE HV Litio LiFePO4  Rack 5,1kWh 51,2v 100Ah (Sin Rack) DEYE  (BOS-GM5.1)</v>
      </c>
      <c r="D297" s="69">
        <f>'.'!F274</f>
        <v>1500</v>
      </c>
      <c r="E297" s="32" t="s">
        <v>20</v>
      </c>
    </row>
    <row r="298">
      <c r="A298" s="106">
        <f>'.'!A275</f>
        <v>242</v>
      </c>
      <c r="B298" s="26" t="str">
        <f>'.'!C275</f>
        <v>INGRESA AGOSTO</v>
      </c>
      <c r="C298" s="27" t="str">
        <f>'.'!D275</f>
        <v>DEYE HV Litio LiFePO4 HV Rack 5,1kWh 51,2v 100Ah DEYE (BOS-G-PACK5.1 Pro)</v>
      </c>
      <c r="D298" s="69">
        <f>'.'!F275</f>
        <v>1421</v>
      </c>
      <c r="E298" s="31" t="s">
        <v>20</v>
      </c>
      <c r="F298" s="41"/>
      <c r="G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</row>
    <row r="299">
      <c r="A299" s="106">
        <f>'.'!A276</f>
        <v>243</v>
      </c>
      <c r="B299" s="26" t="str">
        <f>'.'!C276</f>
        <v>INMEDIATO. </v>
      </c>
      <c r="C299" s="27" t="str">
        <f>'.'!D276</f>
        <v>DEYE HV LiFePO4 HV Rack 14,3kWh 51,2v 280Ah 168A DEYE (BOS-B-PACK14.3) se vende minimo 15 unid</v>
      </c>
      <c r="D299" s="69">
        <f>'.'!F276</f>
        <v>2695</v>
      </c>
      <c r="E299" s="72" t="s">
        <v>20</v>
      </c>
      <c r="F299" s="41"/>
      <c r="G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</row>
    <row r="300">
      <c r="A300" s="106">
        <f>'.'!A277</f>
        <v>244</v>
      </c>
      <c r="B300" s="26" t="str">
        <f>'.'!C277</f>
        <v>INMEDIATO. </v>
      </c>
      <c r="C300" s="27" t="str">
        <f>'.'!D277</f>
        <v>DEYE HV LiFePO4 HV Rack 16,08kWh 51,2v 314Ah 180A DEYE (BOS-B-PACK16-A3)</v>
      </c>
      <c r="D300" s="69">
        <f>'.'!F277</f>
        <v>3057.6</v>
      </c>
      <c r="E300" s="72" t="s">
        <v>20</v>
      </c>
      <c r="F300" s="41"/>
      <c r="G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</row>
    <row r="301">
      <c r="A301" s="105" t="s">
        <v>38</v>
      </c>
      <c r="B301" s="15"/>
      <c r="C301" s="15"/>
      <c r="D301" s="15"/>
      <c r="E301" s="65"/>
    </row>
    <row r="302">
      <c r="A302" s="106">
        <f>'.'!A279</f>
        <v>245</v>
      </c>
      <c r="B302" s="26" t="str">
        <f>'.'!C279</f>
        <v>INMEDIATO</v>
      </c>
      <c r="C302" s="27" t="str">
        <f>'.'!D279</f>
        <v>Controlador Bateria LV IP65 5,1kWh p/ 1 a 6 DEYE (AI-W5.1-PDU3-B+BASE)</v>
      </c>
      <c r="D302" s="69">
        <f>'.'!F279</f>
        <v>686</v>
      </c>
      <c r="E302" s="72" t="s">
        <v>20</v>
      </c>
      <c r="F302" s="41"/>
      <c r="G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</row>
    <row r="303">
      <c r="A303" s="106">
        <f>'.'!A280</f>
        <v>246</v>
      </c>
      <c r="B303" s="26" t="str">
        <f>'.'!C280</f>
        <v>INMEDIATO</v>
      </c>
      <c r="C303" s="27" t="str">
        <f>'.'!D280</f>
        <v>Controlador y Base DEYE HV Piso 4,1kWh p/ 2 a 6mod 750v 50A IP65 DEYE  (GB-LBS+GB-Lbase)</v>
      </c>
      <c r="D303" s="69">
        <f>'.'!F280</f>
        <v>833</v>
      </c>
      <c r="E303" s="33"/>
    </row>
    <row r="304">
      <c r="A304" s="106">
        <f>'.'!A281</f>
        <v>247</v>
      </c>
      <c r="B304" s="26" t="str">
        <f>'.'!C281</f>
        <v>INMEDIATO</v>
      </c>
      <c r="C304" s="27" t="str">
        <f>'.'!D281</f>
        <v>Controlador Bateria DEYE HV Rack 5,1kWh p/ 3 a 12mod 750v 100A DEYE  (HVB750V/100A-EU)</v>
      </c>
      <c r="D304" s="69">
        <f>'.'!F281</f>
        <v>1347.5</v>
      </c>
      <c r="E304" s="33"/>
    </row>
    <row r="305">
      <c r="A305" s="106">
        <f>'.'!A282</f>
        <v>248</v>
      </c>
      <c r="B305" s="26" t="str">
        <f>'.'!C282</f>
        <v>INMEDIATO</v>
      </c>
      <c r="C305" s="27" t="str">
        <f>'.'!D282</f>
        <v>Controlador Bateria HV Rack 5,1kWh p/ 4 a 17mod 1000v 100A DEYE (BOS-G-PDU-2 Pro)</v>
      </c>
      <c r="D305" s="69">
        <f>'.'!F282</f>
        <v>1200.5</v>
      </c>
      <c r="E305" s="33"/>
    </row>
    <row r="306">
      <c r="A306" s="106">
        <f>'.'!A283</f>
        <v>249</v>
      </c>
      <c r="B306" s="26" t="str">
        <f>'.'!C283</f>
        <v>INMEDIATO</v>
      </c>
      <c r="C306" s="27" t="str">
        <f>'.'!D283</f>
        <v>Controlador Bateria HV Rack 14,3kWh p/4 a 15mod 1000v 168A DEYE (BOS-B-PDU-2)</v>
      </c>
      <c r="D306" s="69">
        <f>'.'!F283</f>
        <v>1509.2</v>
      </c>
      <c r="E306" s="109"/>
    </row>
    <row r="307">
      <c r="A307" s="106">
        <f>'.'!A284</f>
        <v>250</v>
      </c>
      <c r="B307" s="26" t="str">
        <f>'.'!C284</f>
        <v>INMEDIATO</v>
      </c>
      <c r="C307" s="27" t="str">
        <f>'.'!D284</f>
        <v>Controlador Bateria HV Rack 16,1kWh p/ 5 a 16mod 1000v 180A DEYE (BOS-B-PDU-2-A)</v>
      </c>
      <c r="D307" s="69">
        <f>'.'!F284</f>
        <v>1509.2</v>
      </c>
      <c r="E307" s="109"/>
    </row>
    <row r="308">
      <c r="A308" s="106">
        <f>'.'!A285</f>
        <v>251</v>
      </c>
      <c r="B308" s="26" t="str">
        <f>'.'!C285</f>
        <v>INMEDIATO</v>
      </c>
      <c r="C308" s="27" t="str">
        <f>'.'!D285</f>
        <v>Rack para BL-H5K1-DE-R hasta 12 Baterias y un Controlador DEYE (3U-Hrack)</v>
      </c>
      <c r="D308" s="69">
        <f>'.'!F285</f>
        <v>550</v>
      </c>
      <c r="E308" s="33"/>
      <c r="F308" s="41"/>
      <c r="G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</row>
    <row r="309">
      <c r="A309" s="106">
        <f>'.'!A286</f>
        <v>252</v>
      </c>
      <c r="B309" s="26" t="str">
        <f>'.'!C286</f>
        <v>INMEDIATO</v>
      </c>
      <c r="C309" s="27" t="str">
        <f>'.'!D286</f>
        <v>Rack para BL-H5K1-DE-R hasta 8 Baterias y un Controlador DEYE (3U-Lrack)</v>
      </c>
      <c r="D309" s="69">
        <f>'.'!F286</f>
        <v>500</v>
      </c>
      <c r="E309" s="33"/>
      <c r="F309" s="41"/>
      <c r="G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</row>
    <row r="310">
      <c r="A310" s="106" t="str">
        <f>'.'!A287</f>
        <v>252-1</v>
      </c>
      <c r="B310" s="26" t="str">
        <f>'.'!C287</f>
        <v>INMEDIATO</v>
      </c>
      <c r="C310" s="27" t="str">
        <f>'.'!D287</f>
        <v>Rack y Cables BOS-B c HIB hasta 16 Baterias y un Controlador DEYE (BOS-B-AP-A)</v>
      </c>
      <c r="D310" s="69">
        <f>'.'!F287</f>
        <v>950</v>
      </c>
      <c r="E310" s="66"/>
      <c r="F310" s="41"/>
      <c r="G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</row>
    <row r="311">
      <c r="A311" s="106" t="str">
        <f>'.'!A288</f>
        <v>252-2</v>
      </c>
      <c r="B311" s="26" t="str">
        <f>'.'!C288</f>
        <v>INMEDIATO</v>
      </c>
      <c r="C311" s="27" t="str">
        <f>'.'!D288</f>
        <v>Rack y Cables BOS-B c PCS hasta 16 Baterias y un Controlador DEYE (BOS-B-AP-B)</v>
      </c>
      <c r="D311" s="69">
        <f>'.'!F288</f>
        <v>950</v>
      </c>
      <c r="E311" s="66"/>
      <c r="F311" s="41"/>
      <c r="G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</row>
    <row r="312">
      <c r="A312" s="105" t="s">
        <v>39</v>
      </c>
      <c r="B312" s="15"/>
      <c r="C312" s="15"/>
      <c r="D312" s="15"/>
      <c r="E312" s="65"/>
      <c r="F312" s="41"/>
      <c r="G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</row>
    <row r="313">
      <c r="A313" s="106">
        <f>'.'!A290</f>
        <v>253</v>
      </c>
      <c r="B313" s="26" t="str">
        <f>'.'!C290</f>
        <v>INMEDIATO. 5 a 10 dias habiles para despachar</v>
      </c>
      <c r="C313" s="27" t="str">
        <f>'.'!D290</f>
        <v>Bateria GOODWE LV 5.4kWh Litio (Home)</v>
      </c>
      <c r="D313" s="67">
        <f>'.'!F290</f>
        <v>1478.4</v>
      </c>
      <c r="E313" s="32" t="s">
        <v>20</v>
      </c>
      <c r="F313" s="41"/>
      <c r="G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</row>
    <row r="314">
      <c r="A314" s="106">
        <f>'.'!A291</f>
        <v>254</v>
      </c>
      <c r="B314" s="26" t="str">
        <f>'.'!C291</f>
        <v>INMEDIATO. 5 a 10 dias habiles para despachar</v>
      </c>
      <c r="C314" s="27" t="str">
        <f>'.'!D291</f>
        <v>PCU Batería Litio GOODWE Linx F-G2 HV (Min 3 Mod)</v>
      </c>
      <c r="D314" s="67">
        <f>'.'!F291</f>
        <v>916.16</v>
      </c>
      <c r="E314" s="32" t="s">
        <v>20</v>
      </c>
      <c r="F314" s="41"/>
      <c r="G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</row>
    <row r="315">
      <c r="A315" s="106">
        <f>'.'!A292</f>
        <v>255</v>
      </c>
      <c r="B315" s="26" t="str">
        <f>'.'!C292</f>
        <v>INMEDIATO. 5 a 10 dias habiles para despachar</v>
      </c>
      <c r="C315" s="27" t="str">
        <f>'.'!D292</f>
        <v>Modulo Batería Linx F-G2 HV 3.2kWh </v>
      </c>
      <c r="D315" s="67">
        <f>'.'!F292</f>
        <v>1288</v>
      </c>
      <c r="E315" s="32" t="s">
        <v>20</v>
      </c>
      <c r="F315" s="41"/>
      <c r="G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</row>
    <row r="316">
      <c r="A316" s="105" t="s">
        <v>40</v>
      </c>
      <c r="B316" s="15"/>
      <c r="C316" s="15"/>
      <c r="D316" s="15"/>
      <c r="E316" s="65"/>
    </row>
    <row r="317">
      <c r="A317" s="106">
        <f>'.'!A294</f>
        <v>256</v>
      </c>
      <c r="B317" s="26" t="str">
        <f>'.'!C294</f>
        <v>INMEDIATO. POCO STOCK</v>
      </c>
      <c r="C317" s="27" t="str">
        <f>'.'!D294</f>
        <v>Bateria PYLONTECH UP2500 Litio 24V 2.4kWh 6000c + Cable. Se entrega en transporte en Rosario</v>
      </c>
      <c r="D317" s="67">
        <f>'.'!F294</f>
        <v>761.3</v>
      </c>
      <c r="E317" s="31" t="s">
        <v>20</v>
      </c>
    </row>
    <row r="318">
      <c r="A318" s="106">
        <f>'.'!A295</f>
        <v>257</v>
      </c>
      <c r="B318" s="26" t="str">
        <f>'.'!C295</f>
        <v>INMEDIATO. POCO STOCK</v>
      </c>
      <c r="C318" s="27" t="str">
        <f>'.'!D295</f>
        <v>Bateria PYLONTECH US3000C Litio 48V 3.5kWh 8000c + cable. Se entrega en transporte en Rosario</v>
      </c>
      <c r="D318" s="67">
        <f>'.'!F295</f>
        <v>1171.85</v>
      </c>
      <c r="E318" s="31" t="s">
        <v>20</v>
      </c>
      <c r="F318" s="49"/>
      <c r="G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</row>
    <row r="319">
      <c r="A319" s="106">
        <f>'.'!A296</f>
        <v>258</v>
      </c>
      <c r="B319" s="26" t="str">
        <f>'.'!C296</f>
        <v>SIN FECHA ESTIMADA</v>
      </c>
      <c r="C319" s="27" t="str">
        <f>'.'!D296</f>
        <v>Bateria PYLONTECH UP5000 Litio 48V 4.8kWh 6000c + cable. Se entrega en transporte en Rosario</v>
      </c>
      <c r="D319" s="67">
        <f>'.'!F296</f>
        <v>1399.55</v>
      </c>
      <c r="E319" s="31" t="s">
        <v>20</v>
      </c>
      <c r="F319" s="49"/>
      <c r="G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</row>
    <row r="320">
      <c r="A320" s="106">
        <f>'.'!A297</f>
        <v>259</v>
      </c>
      <c r="B320" s="34" t="str">
        <f>'.'!C297</f>
        <v>INMEDIATO. </v>
      </c>
      <c r="C320" s="27" t="str">
        <f>'.'!D297</f>
        <v>Bateria PYLONTECH US5000 Litio 48V 4.8kWh + cable. Se retira por deposito Soldatti o entrega en CTC</v>
      </c>
      <c r="D320" s="67">
        <f>'.'!F297</f>
        <v>1198.3</v>
      </c>
      <c r="E320" s="31" t="s">
        <v>20</v>
      </c>
      <c r="F320" s="110"/>
      <c r="G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</row>
    <row r="321">
      <c r="A321" s="106">
        <f>'.'!A298</f>
        <v>260</v>
      </c>
      <c r="B321" s="26" t="str">
        <f>'.'!C298</f>
        <v>INGRESAN JUNIO. PREVENTA</v>
      </c>
      <c r="C321" s="27" t="str">
        <f>'.'!D298</f>
        <v>Bateria PYLONTECH UF-5000 Litio 48V 5.1kWh 6000c + Cable</v>
      </c>
      <c r="D321" s="67">
        <f>'.'!F298</f>
        <v>1090.2</v>
      </c>
      <c r="E321" s="31" t="s">
        <v>20</v>
      </c>
      <c r="F321" s="49"/>
      <c r="G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</row>
    <row r="322">
      <c r="A322" s="106" t="str">
        <f>'.'!A299</f>
        <v>260-1</v>
      </c>
      <c r="B322" s="26" t="str">
        <f>'.'!C299</f>
        <v>INGRESA JUNIO</v>
      </c>
      <c r="C322" s="27" t="str">
        <f>'.'!D299</f>
        <v>Bateria PYLONTECH FIDUS Litio 51.2V 5.1kWh 6000c + Cable</v>
      </c>
      <c r="D322" s="67">
        <f>'.'!F299</f>
        <v>1179.9</v>
      </c>
      <c r="E322" s="71"/>
      <c r="F322" s="49"/>
      <c r="G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</row>
    <row r="323">
      <c r="A323" s="106" t="str">
        <f>'.'!A300</f>
        <v>260-2</v>
      </c>
      <c r="B323" s="26" t="str">
        <f>'.'!C300</f>
        <v>INGRESA JUNIO</v>
      </c>
      <c r="C323" s="27" t="str">
        <f>'.'!D300</f>
        <v>Bateria PYLONTECH FIDUS PLUS Litio 51.2V 16kWh 8000c + Cable</v>
      </c>
      <c r="D323" s="67">
        <f>'.'!F300</f>
        <v>2632.35</v>
      </c>
      <c r="E323" s="71"/>
      <c r="F323" s="49"/>
      <c r="G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</row>
    <row r="324">
      <c r="A324" s="106">
        <f>'.'!A301</f>
        <v>261</v>
      </c>
      <c r="B324" s="26" t="str">
        <f>'.'!C301</f>
        <v>INMEDIATO</v>
      </c>
      <c r="C324" s="27" t="str">
        <f>'.'!D301</f>
        <v>Batería Litio Monobloque RT12100 12V 100Ah Pylontech</v>
      </c>
      <c r="D324" s="67">
        <f>'.'!F301</f>
        <v>488</v>
      </c>
      <c r="E324" s="72" t="s">
        <v>20</v>
      </c>
      <c r="F324" s="110"/>
      <c r="G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</row>
    <row r="325">
      <c r="A325" s="106">
        <f>'.'!A302</f>
        <v>262</v>
      </c>
      <c r="B325" s="26" t="str">
        <f>'.'!C302</f>
        <v>INMEDIATO</v>
      </c>
      <c r="C325" s="27" t="str">
        <f>'.'!D302</f>
        <v>Batería Litio Monobloque RV12200 12.8V 200AH Pylontech</v>
      </c>
      <c r="D325" s="67">
        <f>'.'!F302</f>
        <v>594</v>
      </c>
      <c r="E325" s="72" t="s">
        <v>20</v>
      </c>
      <c r="F325" s="110"/>
      <c r="G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</row>
    <row r="326">
      <c r="A326" s="105" t="s">
        <v>41</v>
      </c>
      <c r="B326" s="15"/>
      <c r="C326" s="15"/>
      <c r="D326" s="15"/>
      <c r="E326" s="65"/>
      <c r="F326" s="7"/>
      <c r="G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06">
        <f>'.'!A304</f>
        <v>263</v>
      </c>
      <c r="B327" s="26" t="str">
        <f>'.'!C304</f>
        <v>INMEDIATO</v>
      </c>
      <c r="C327" s="27" t="str">
        <f>'.'!D304</f>
        <v>BATERIA GROWATT MODULAR DE LITIO AXE 5.0L </v>
      </c>
      <c r="D327" s="80">
        <f>'.'!F304</f>
        <v>1520.064</v>
      </c>
      <c r="E327" s="48" t="s">
        <v>20</v>
      </c>
      <c r="F327" s="7"/>
      <c r="G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106">
        <f>'.'!A305</f>
        <v>264</v>
      </c>
      <c r="B328" s="26" t="str">
        <f>'.'!C305</f>
        <v>INMEDIATO</v>
      </c>
      <c r="C328" s="27" t="str">
        <f>'.'!D305</f>
        <v>BATERIA GROWATT MODULAR DE LITIO AXE 5.0L - cable</v>
      </c>
      <c r="D328" s="80">
        <f>'.'!F305</f>
        <v>117.3</v>
      </c>
      <c r="E328" s="32" t="s">
        <v>20</v>
      </c>
    </row>
    <row r="329">
      <c r="A329" s="106">
        <f>'.'!A306</f>
        <v>265</v>
      </c>
      <c r="B329" s="26" t="str">
        <f>'.'!C306</f>
        <v>INMEDIATO</v>
      </c>
      <c r="C329" s="27" t="str">
        <f>'.'!D306</f>
        <v>BATERIA GROWATT MODULAR DE LITIO AXE 5.0L - base</v>
      </c>
      <c r="D329" s="80">
        <f>'.'!F306</f>
        <v>36.1675</v>
      </c>
      <c r="E329" s="32" t="s">
        <v>20</v>
      </c>
    </row>
    <row r="330" ht="18.0" customHeight="1">
      <c r="A330" s="106">
        <f>'.'!A307</f>
        <v>266</v>
      </c>
      <c r="B330" s="26" t="str">
        <f>'.'!C307</f>
        <v>INMEDIATO</v>
      </c>
      <c r="C330" s="27" t="str">
        <f>'.'!D307</f>
        <v>Batería Litio GROWATT HOPE 5.0L-B1 - 51.2V 100Ah + KIT - en promo (no compatible con hope 5.5)</v>
      </c>
      <c r="D330" s="80">
        <f>'.'!F307</f>
        <v>1035.6</v>
      </c>
      <c r="E330" s="111" t="s">
        <v>20</v>
      </c>
      <c r="F330" s="110"/>
      <c r="G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</row>
    <row r="331">
      <c r="A331" s="106">
        <f>'.'!A308</f>
        <v>267</v>
      </c>
      <c r="B331" s="43" t="str">
        <f>'.'!C308</f>
        <v>INMEDIATO</v>
      </c>
      <c r="C331" s="44" t="str">
        <f>'.'!D308</f>
        <v>Batería GROWATT  HOPE 5.5L-A1 + KIT</v>
      </c>
      <c r="D331" s="113">
        <f>'.'!F308</f>
        <v>1391.412</v>
      </c>
      <c r="E331" s="72" t="s">
        <v>20</v>
      </c>
      <c r="F331" s="110"/>
      <c r="G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</row>
    <row r="332">
      <c r="A332" s="106">
        <f>'.'!A309</f>
        <v>268</v>
      </c>
      <c r="B332" s="26" t="str">
        <f>'.'!C309</f>
        <v>INMEDIATO</v>
      </c>
      <c r="C332" s="27" t="str">
        <f>'.'!D309</f>
        <v>Batería GROWATT  HOPE 16.0LM-A1 (16kwh)</v>
      </c>
      <c r="D332" s="80">
        <f>'.'!F309</f>
        <v>3541.4365</v>
      </c>
      <c r="E332" s="72" t="s">
        <v>20</v>
      </c>
      <c r="F332" s="41"/>
      <c r="G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</row>
    <row r="333">
      <c r="A333" s="106">
        <f>'.'!A310</f>
        <v>269</v>
      </c>
      <c r="B333" s="26" t="str">
        <f>'.'!C310</f>
        <v>INMEDIATO</v>
      </c>
      <c r="C333" s="27" t="str">
        <f>'.'!D310</f>
        <v>ARK XH . Modulo de batería LiFePO4 de 2.56kWh compatible con MIN 3000TL-XH</v>
      </c>
      <c r="D333" s="80">
        <f>'.'!F310</f>
        <v>1292.816</v>
      </c>
      <c r="E333" s="33"/>
    </row>
    <row r="334">
      <c r="A334" s="106">
        <f>'.'!A311</f>
        <v>270</v>
      </c>
      <c r="B334" s="26" t="str">
        <f>'.'!C311</f>
        <v>INMEDIATO</v>
      </c>
      <c r="C334" s="27" t="str">
        <f>'.'!D311</f>
        <v>Batería de Litio Growatt modelo ARK 2.5H-A1. 2,56 kWh (50 Ah), DOD 90% 6000 ciclos, hasta 10 Baterias por torre. Compatible con: SPH10000TL3BH-UP. Comunicación CAN.</v>
      </c>
      <c r="D334" s="80">
        <f>1275.75</f>
        <v>1275.75</v>
      </c>
      <c r="E334" s="33"/>
    </row>
    <row r="335">
      <c r="A335" s="106">
        <f>'.'!A312</f>
        <v>271</v>
      </c>
      <c r="B335" s="26" t="str">
        <f>'.'!C312</f>
        <v>INMEDIATO</v>
      </c>
      <c r="C335" s="27" t="str">
        <f>'.'!D312</f>
        <v>BMS modelo HVC 60050-A1 para batería ARK 2.5H-A1</v>
      </c>
      <c r="D335" s="80">
        <f>'.'!F312</f>
        <v>845.0545</v>
      </c>
      <c r="E335" s="33"/>
    </row>
    <row r="336">
      <c r="A336" s="106">
        <f>'.'!A313</f>
        <v>272</v>
      </c>
      <c r="B336" s="26" t="str">
        <f>'.'!C313</f>
        <v>INMEDIATO</v>
      </c>
      <c r="C336" s="27" t="str">
        <f>'.'!D313</f>
        <v>Set de cables ARK 2.5H-A1 cable</v>
      </c>
      <c r="D336" s="80">
        <f>'.'!F313</f>
        <v>79.7796</v>
      </c>
      <c r="E336" s="33"/>
    </row>
    <row r="337">
      <c r="A337" s="106">
        <f>'.'!A314</f>
        <v>273</v>
      </c>
      <c r="B337" s="26" t="str">
        <f>'.'!C314</f>
        <v>INMEDIATO</v>
      </c>
      <c r="C337" s="27" t="str">
        <f>'.'!D314</f>
        <v>Set de cables ARK 2.5H-A1 Series cable</v>
      </c>
      <c r="D337" s="80">
        <f>'.'!F314</f>
        <v>59.84</v>
      </c>
      <c r="E337" s="33"/>
    </row>
    <row r="338">
      <c r="A338" s="106">
        <f>'.'!A315</f>
        <v>274</v>
      </c>
      <c r="B338" s="26" t="str">
        <f>'.'!C315</f>
        <v>INMEDIATO</v>
      </c>
      <c r="C338" s="27" t="str">
        <f>'.'!D315</f>
        <v>Base para batería ARK</v>
      </c>
      <c r="D338" s="80">
        <f>'.'!F315</f>
        <v>117.46</v>
      </c>
      <c r="E338" s="33"/>
    </row>
    <row r="339">
      <c r="A339" s="106">
        <f>'.'!A316</f>
        <v>275</v>
      </c>
      <c r="B339" s="26" t="str">
        <f>'.'!C316</f>
        <v>INMEDIATO</v>
      </c>
      <c r="C339" s="27" t="str">
        <f>'.'!D316</f>
        <v>Soporte de pared para batería ARK</v>
      </c>
      <c r="D339" s="80">
        <f>'.'!F316</f>
        <v>17.73</v>
      </c>
      <c r="E339" s="33"/>
    </row>
    <row r="340">
      <c r="A340" s="114" t="s">
        <v>42</v>
      </c>
      <c r="B340" s="15"/>
      <c r="C340" s="15"/>
      <c r="D340" s="15"/>
      <c r="E340" s="65"/>
      <c r="F340" s="41"/>
      <c r="G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</row>
    <row r="341">
      <c r="A341" s="106">
        <f>'.'!A318</f>
        <v>276</v>
      </c>
      <c r="B341" s="26" t="str">
        <f>'.'!C318</f>
        <v>INMEDIATO</v>
      </c>
      <c r="C341" s="27" t="str">
        <f>'.'!D318</f>
        <v>DYNESS Lithium Ion battery DL5.00-5,12 kWh 51,1v 100ah  (1 C) (LV)</v>
      </c>
      <c r="D341" s="115">
        <f>'.'!F318</f>
        <v>1264.8</v>
      </c>
      <c r="E341" s="72" t="s">
        <v>20</v>
      </c>
      <c r="F341" s="116"/>
      <c r="G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</row>
    <row r="342">
      <c r="A342" s="106">
        <f>'.'!A319</f>
        <v>277</v>
      </c>
      <c r="B342" s="26" t="str">
        <f>'.'!C319</f>
        <v>INMEDIATO</v>
      </c>
      <c r="C342" s="27" t="str">
        <f>'.'!D319</f>
        <v>DYNESS Lithium Ion Battery B4850 - 2,4 kWh 48v 50ah (LV)</v>
      </c>
      <c r="D342" s="115">
        <f>'.'!F319</f>
        <v>588</v>
      </c>
      <c r="E342" s="72" t="s">
        <v>20</v>
      </c>
      <c r="F342" s="41"/>
      <c r="G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</row>
    <row r="343">
      <c r="A343" s="106">
        <f>'.'!A320</f>
        <v>278</v>
      </c>
      <c r="B343" s="26" t="str">
        <f>'.'!C320</f>
        <v>INMEDIATO</v>
      </c>
      <c r="C343" s="27" t="str">
        <f>'.'!D320</f>
        <v>DYNESS Lithium HV9637 PARA BDU 3,55 kWh (compatible con DEYE HV)</v>
      </c>
      <c r="D343" s="115">
        <f>'.'!F320</f>
        <v>884.8</v>
      </c>
      <c r="E343" s="72" t="s">
        <v>20</v>
      </c>
      <c r="F343" s="41"/>
      <c r="G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</row>
    <row r="344">
      <c r="A344" s="106">
        <f>'.'!A321</f>
        <v>279</v>
      </c>
      <c r="B344" s="26" t="str">
        <f>'.'!C321</f>
        <v>INMEDIATO</v>
      </c>
      <c r="C344" s="27" t="str">
        <f>'.'!D321</f>
        <v>DYNESS BDU+BMS (1.5g FOR TOWER)</v>
      </c>
      <c r="D344" s="115">
        <f>'.'!F321</f>
        <v>672</v>
      </c>
      <c r="E344" s="72" t="s">
        <v>20</v>
      </c>
      <c r="F344" s="41"/>
      <c r="G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</row>
    <row r="345">
      <c r="A345" s="106" t="str">
        <f>'.'!A322</f>
        <v>279-1</v>
      </c>
      <c r="B345" s="26" t="str">
        <f>'.'!C322</f>
        <v>INMEDIATO</v>
      </c>
      <c r="C345" s="27" t="str">
        <f>'.'!D322</f>
        <v>Dyness Powerbrick Battery/ 51.2V 280Ah/14.336KWh (compatible con DEYE LV)</v>
      </c>
      <c r="D345" s="115">
        <f>'.'!F322</f>
        <v>2507</v>
      </c>
      <c r="E345" s="72" t="s">
        <v>20</v>
      </c>
      <c r="F345" s="41"/>
      <c r="G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</row>
    <row r="346">
      <c r="A346" s="106" t="str">
        <f>'.'!A323</f>
        <v>279-2</v>
      </c>
      <c r="B346" s="26" t="str">
        <f>'.'!C323</f>
        <v>INMEDIATO</v>
      </c>
      <c r="C346" s="27" t="str">
        <f>'.'!D323</f>
        <v>Dyness S51280 Battery/ 51.2V 280Ah/14.3KWh (compatible con DEYE HV)</v>
      </c>
      <c r="D346" s="115">
        <f>'.'!F323</f>
        <v>2972.75</v>
      </c>
      <c r="E346" s="72" t="s">
        <v>20</v>
      </c>
      <c r="F346" s="41"/>
      <c r="G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</row>
    <row r="347">
      <c r="A347" s="106" t="str">
        <f>'.'!A324</f>
        <v>279-3</v>
      </c>
      <c r="B347" s="26" t="str">
        <f>'.'!C324</f>
        <v>INMEDIATO</v>
      </c>
      <c r="C347" s="27" t="str">
        <f>'.'!D324</f>
        <v>EXPANSION KITS FOR STACK280</v>
      </c>
      <c r="D347" s="115">
        <f>'.'!F324</f>
        <v>906.2</v>
      </c>
      <c r="E347" s="71"/>
      <c r="F347" s="41"/>
      <c r="G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</row>
    <row r="348">
      <c r="A348" s="106" t="str">
        <f>'.'!A325</f>
        <v>279-4</v>
      </c>
      <c r="B348" s="26" t="str">
        <f>'.'!C325</f>
        <v>INMEDIATO</v>
      </c>
      <c r="C348" s="27" t="str">
        <f>'.'!D325</f>
        <v>BDU&amp;BASE FOR STACK280</v>
      </c>
      <c r="D348" s="115">
        <f>'.'!F325</f>
        <v>2235.6</v>
      </c>
      <c r="E348" s="71"/>
      <c r="F348" s="41"/>
      <c r="G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</row>
    <row r="349">
      <c r="A349" s="105" t="s">
        <v>43</v>
      </c>
      <c r="B349" s="15"/>
      <c r="C349" s="15"/>
      <c r="D349" s="15"/>
      <c r="E349" s="65"/>
      <c r="F349" s="41"/>
      <c r="G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</row>
    <row r="350">
      <c r="A350" s="106">
        <f>'.'!A327</f>
        <v>280</v>
      </c>
      <c r="B350" s="26" t="str">
        <f>'.'!C327</f>
        <v>INMEDIATO</v>
      </c>
      <c r="C350" s="27" t="str">
        <f>'.'!D327</f>
        <v>HUAWEI LUNA2000  LiFePO4 5kWh - DoD 100% - Compatible con SUN200-2/3/5KTL-L1 y SUN2000-3/10KTL-M1</v>
      </c>
      <c r="D350" s="115">
        <f>'.'!F327</f>
        <v>3521.232</v>
      </c>
      <c r="E350" s="66"/>
      <c r="F350" s="41"/>
      <c r="G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</row>
    <row r="351">
      <c r="A351" s="106">
        <f>'.'!A328</f>
        <v>281</v>
      </c>
      <c r="B351" s="26" t="str">
        <f>'.'!C328</f>
        <v>INMEDIATO</v>
      </c>
      <c r="C351" s="27" t="str">
        <f>'.'!D328</f>
        <v>LUNA2000 DC / DC Converter</v>
      </c>
      <c r="D351" s="115">
        <f>'.'!F328</f>
        <v>1115.262</v>
      </c>
      <c r="E351" s="66"/>
      <c r="F351" s="41"/>
      <c r="G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</row>
    <row r="352">
      <c r="A352" s="105" t="s">
        <v>44</v>
      </c>
      <c r="B352" s="15"/>
      <c r="C352" s="15"/>
      <c r="D352" s="15"/>
      <c r="E352" s="65"/>
      <c r="F352" s="41"/>
      <c r="G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</row>
    <row r="353">
      <c r="A353" s="106">
        <f>'.'!A330</f>
        <v>282</v>
      </c>
      <c r="B353" s="26" t="str">
        <f>'.'!C330</f>
        <v>INMEDIATO</v>
      </c>
      <c r="C353" s="27" t="str">
        <f>'.'!D330</f>
        <v>Bateria Litio LiFePO4 Rack 5,1kWh 51,2v 100Ah c/ Prot BLUNERY (BATBLUSTD48100) (1C 100% DOD)</v>
      </c>
      <c r="D353" s="115">
        <f>'.'!F330</f>
        <v>900</v>
      </c>
      <c r="E353" s="72" t="s">
        <v>20</v>
      </c>
      <c r="F353" s="41"/>
      <c r="G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</row>
    <row r="354">
      <c r="A354" s="106">
        <f>'.'!A331</f>
        <v>283</v>
      </c>
      <c r="B354" s="26" t="str">
        <f>'.'!C331</f>
        <v>INMEDIATO</v>
      </c>
      <c r="C354" s="27" t="str">
        <f>'.'!D331</f>
        <v>Bateria Litio LiFePO4 1,28kWh 12,8v 100Ah Monobloque BLUNERY (BATBLUSTD12100)</v>
      </c>
      <c r="D354" s="117">
        <v>380.0</v>
      </c>
      <c r="E354" s="72" t="s">
        <v>20</v>
      </c>
      <c r="F354" s="41"/>
      <c r="G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</row>
    <row r="355">
      <c r="A355" s="106">
        <f>'.'!A332</f>
        <v>284</v>
      </c>
      <c r="B355" s="26" t="str">
        <f>'.'!C332</f>
        <v>INMEDIATO</v>
      </c>
      <c r="C355" s="27" t="str">
        <f>'.'!D332</f>
        <v>Bateria Litio LiFePO4 2,56kWh 12,8v 200Ah Monobloque Sin Bluetooth BLUNERY</v>
      </c>
      <c r="D355" s="117">
        <v>600.0</v>
      </c>
      <c r="E355" s="72" t="s">
        <v>20</v>
      </c>
      <c r="F355" s="41"/>
      <c r="G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</row>
    <row r="356">
      <c r="A356" s="118" t="s">
        <v>45</v>
      </c>
      <c r="B356" s="15"/>
      <c r="C356" s="15"/>
      <c r="D356" s="15"/>
      <c r="E356" s="65"/>
      <c r="F356" s="41"/>
      <c r="G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</row>
    <row r="357">
      <c r="A357" s="106">
        <f>'.'!A334</f>
        <v>285</v>
      </c>
      <c r="B357" s="26" t="str">
        <f>'.'!C334</f>
        <v>INMEDIATO</v>
      </c>
      <c r="C357" s="27" t="str">
        <f>'.'!D334</f>
        <v>Bateria ULTRACELL GEL 12V 55Ah Ciclo profundo, 2400c. 30% DOD</v>
      </c>
      <c r="D357" s="67">
        <f>'.'!F334</f>
        <v>114.5898</v>
      </c>
      <c r="E357" s="33"/>
      <c r="G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</row>
    <row r="358">
      <c r="A358" s="106">
        <f>'.'!A335</f>
        <v>286</v>
      </c>
      <c r="B358" s="26" t="str">
        <f>'.'!C335</f>
        <v>INGRESA JUNIO</v>
      </c>
      <c r="C358" s="27" t="str">
        <f>'.'!D335</f>
        <v>Bateria ULTRACELL GEL 12V 100Ah Ciclo profundo, 2400c. 30% DOD</v>
      </c>
      <c r="D358" s="67">
        <f>'.'!F335</f>
        <v>175.628</v>
      </c>
      <c r="E358" s="32" t="s">
        <v>20</v>
      </c>
      <c r="F358" s="38"/>
      <c r="G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</row>
    <row r="359">
      <c r="A359" s="106">
        <f>'.'!A336</f>
        <v>287</v>
      </c>
      <c r="B359" s="26" t="str">
        <f>'.'!C336</f>
        <v>INMEDIATO</v>
      </c>
      <c r="C359" s="27" t="str">
        <f>'.'!D336</f>
        <v>Bateria ULTRACELL GEL 12V 150Ah Ciclo profundo, 2400c. 30% DOD</v>
      </c>
      <c r="D359" s="67">
        <f>'.'!F336</f>
        <v>330.05</v>
      </c>
      <c r="E359" s="33"/>
      <c r="F359" s="41"/>
      <c r="G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</row>
    <row r="360">
      <c r="A360" s="106">
        <f>'.'!A337</f>
        <v>288</v>
      </c>
      <c r="B360" s="26" t="str">
        <f>'.'!C337</f>
        <v>INMEDIATO</v>
      </c>
      <c r="C360" s="27" t="str">
        <f>'.'!D337</f>
        <v>Bateria ULTRACELL GEL 12V 200Ah Ciclo profundo, 2400c. 30% DOD</v>
      </c>
      <c r="D360" s="67">
        <f>'.'!F337</f>
        <v>377.0358</v>
      </c>
      <c r="E360" s="31" t="s">
        <v>20</v>
      </c>
      <c r="F360" s="41"/>
      <c r="G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</row>
    <row r="361">
      <c r="A361" s="106">
        <f>'.'!A338</f>
        <v>289</v>
      </c>
      <c r="B361" s="26" t="str">
        <f>'.'!C338</f>
        <v>INMEDIATO</v>
      </c>
      <c r="C361" s="27" t="str">
        <f>'.'!D338</f>
        <v>Bateria ULTRACELL GEL 12V 275Ah Ciclo profundo, 2400c. 30% DOD</v>
      </c>
      <c r="D361" s="67">
        <f>'.'!F338</f>
        <v>429.5582</v>
      </c>
      <c r="E361" s="31" t="s">
        <v>20</v>
      </c>
      <c r="F361" s="41"/>
      <c r="G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</row>
    <row r="362">
      <c r="A362" s="119" t="s">
        <v>46</v>
      </c>
      <c r="B362" s="15"/>
      <c r="C362" s="15"/>
      <c r="D362" s="15"/>
      <c r="E362" s="65"/>
    </row>
    <row r="363">
      <c r="A363" s="106">
        <f>'.'!A340</f>
        <v>290</v>
      </c>
      <c r="B363" s="26" t="str">
        <f>'.'!C340</f>
        <v>INMEDIATO</v>
      </c>
      <c r="C363" s="27" t="str">
        <f>'.'!D340</f>
        <v>BATERIA RITAR DC 12 V - 100AH</v>
      </c>
      <c r="D363" s="67">
        <f>'.'!F340</f>
        <v>200.2</v>
      </c>
      <c r="E363" s="32" t="s">
        <v>20</v>
      </c>
      <c r="F363" s="41"/>
      <c r="G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</row>
    <row r="364">
      <c r="A364" s="106">
        <f>'.'!A341</f>
        <v>291</v>
      </c>
      <c r="B364" s="26" t="str">
        <f>'.'!C341</f>
        <v>INMEDIATO</v>
      </c>
      <c r="C364" s="27" t="str">
        <f>'.'!D341</f>
        <v>BATERIA RITAR DC 12 V - 150AH</v>
      </c>
      <c r="D364" s="67">
        <f>'.'!F341</f>
        <v>319</v>
      </c>
      <c r="E364" s="32" t="s">
        <v>20</v>
      </c>
    </row>
    <row r="365">
      <c r="A365" s="106">
        <f>'.'!A342</f>
        <v>292</v>
      </c>
      <c r="B365" s="26" t="str">
        <f>'.'!C342</f>
        <v>INMEDIATO</v>
      </c>
      <c r="C365" s="27" t="str">
        <f>'.'!D342</f>
        <v>BATERIA RITAR DC 12 V - 225AH</v>
      </c>
      <c r="D365" s="67">
        <f>'.'!F342</f>
        <v>433.4</v>
      </c>
      <c r="E365" s="32" t="s">
        <v>20</v>
      </c>
    </row>
    <row r="366">
      <c r="A366" s="106">
        <f>'.'!A343</f>
        <v>293</v>
      </c>
      <c r="B366" s="26" t="str">
        <f>'.'!C343</f>
        <v>INMEDIATO</v>
      </c>
      <c r="C366" s="27" t="str">
        <f>'.'!D343</f>
        <v>BATERIA TROJAN 6 V - 202AH. T-105AES</v>
      </c>
      <c r="D366" s="67">
        <f>'.'!F343</f>
        <v>468.05</v>
      </c>
      <c r="E366" s="79"/>
    </row>
    <row r="367">
      <c r="A367" s="106">
        <f>'.'!A344</f>
        <v>294</v>
      </c>
      <c r="B367" s="26" t="str">
        <f>'.'!C344</f>
        <v>INMEDIATO</v>
      </c>
      <c r="C367" s="27" t="str">
        <f>'.'!D344</f>
        <v>BATERIA TROJAN 6 V - 298AH. J-305AES</v>
      </c>
      <c r="D367" s="67">
        <f>'.'!F344</f>
        <v>739.45</v>
      </c>
      <c r="E367" s="79"/>
    </row>
    <row r="368">
      <c r="A368" s="106">
        <f>'.'!A345</f>
        <v>295</v>
      </c>
      <c r="B368" s="26" t="str">
        <f>'.'!C345</f>
        <v>INMEDIATO</v>
      </c>
      <c r="C368" s="27" t="str">
        <f>'.'!D345</f>
        <v>BATERIA TROJAN 6 V - 333AH. L-16AES</v>
      </c>
      <c r="D368" s="67">
        <f>'.'!F345</f>
        <v>838.35</v>
      </c>
      <c r="E368" s="79"/>
    </row>
    <row r="369">
      <c r="A369" s="106">
        <f>'.'!A346</f>
        <v>296</v>
      </c>
      <c r="B369" s="26" t="str">
        <f>'.'!C346</f>
        <v>INMEDIATO</v>
      </c>
      <c r="C369" s="27" t="str">
        <f>'.'!D346</f>
        <v>BATERIA TROJAN 12 V - 100AH. 31AES</v>
      </c>
      <c r="D369" s="67">
        <f>'.'!F346</f>
        <v>418.6</v>
      </c>
      <c r="E369" s="79"/>
    </row>
    <row r="370">
      <c r="A370" s="106">
        <f>'.'!A347</f>
        <v>297</v>
      </c>
      <c r="B370" s="26" t="str">
        <f>'.'!C347</f>
        <v>INMEDIATO</v>
      </c>
      <c r="C370" s="27" t="str">
        <f>'.'!D347</f>
        <v>BATERIA VISION 12 V - 33AH. 6FM33X</v>
      </c>
      <c r="D370" s="67">
        <f>'.'!F347</f>
        <v>79.35</v>
      </c>
      <c r="E370" s="79"/>
    </row>
    <row r="371">
      <c r="A371" s="106">
        <f>'.'!A348</f>
        <v>298</v>
      </c>
      <c r="B371" s="26" t="str">
        <f>'.'!C348</f>
        <v>INMEDIATO</v>
      </c>
      <c r="C371" s="27" t="str">
        <f>'.'!D348</f>
        <v>BATERIA VISION 12 V - 40AH. 6FM40X</v>
      </c>
      <c r="D371" s="67">
        <f>'.'!F348</f>
        <v>103.5</v>
      </c>
      <c r="E371" s="79"/>
    </row>
    <row r="372">
      <c r="A372" s="106">
        <f>'.'!A349</f>
        <v>299</v>
      </c>
      <c r="B372" s="26" t="str">
        <f>'.'!C349</f>
        <v>INMEDIATO</v>
      </c>
      <c r="C372" s="27" t="str">
        <f>'.'!D349</f>
        <v>BATERIA VISION 12 V - 55AH. 6FM55X</v>
      </c>
      <c r="D372" s="67">
        <f>'.'!F349</f>
        <v>127.65</v>
      </c>
      <c r="E372" s="31" t="s">
        <v>20</v>
      </c>
    </row>
    <row r="373">
      <c r="A373" s="106">
        <f>'.'!A350</f>
        <v>300</v>
      </c>
      <c r="B373" s="26" t="str">
        <f>'.'!C350</f>
        <v>INMEDIATO</v>
      </c>
      <c r="C373" s="27" t="str">
        <f>'.'!D350</f>
        <v>BATERIA VISION 12 V - 65AH. 6FM65X</v>
      </c>
      <c r="D373" s="67">
        <f>'.'!F350</f>
        <v>147.2</v>
      </c>
      <c r="E373" s="79"/>
    </row>
    <row r="374">
      <c r="A374" s="106">
        <f>'.'!A351</f>
        <v>301</v>
      </c>
      <c r="B374" s="26" t="str">
        <f>'.'!C351</f>
        <v>SIN FECHA ESTIMADA</v>
      </c>
      <c r="C374" s="27" t="str">
        <f>'.'!D351</f>
        <v>BATERIA VISION 12 V - 75AH. 6FM75X</v>
      </c>
      <c r="D374" s="67">
        <f>'.'!F351</f>
        <v>172.5</v>
      </c>
      <c r="E374" s="79"/>
    </row>
    <row r="375">
      <c r="A375" s="106">
        <f>'.'!A352</f>
        <v>302</v>
      </c>
      <c r="B375" s="26" t="str">
        <f>'.'!C352</f>
        <v>INMEDIATO</v>
      </c>
      <c r="C375" s="27" t="str">
        <f>'.'!D352</f>
        <v>BATERIA VISION 12 V - 100AH. 6FM100EX</v>
      </c>
      <c r="D375" s="67">
        <f>'.'!F352</f>
        <v>211.6</v>
      </c>
      <c r="E375" s="31" t="s">
        <v>20</v>
      </c>
    </row>
    <row r="376">
      <c r="A376" s="106">
        <f>'.'!A353</f>
        <v>303</v>
      </c>
      <c r="B376" s="26" t="str">
        <f>'.'!C353</f>
        <v>INMEDIATO</v>
      </c>
      <c r="C376" s="27" t="str">
        <f>'.'!D353</f>
        <v>BATERIA VISION 12 V - 120AH. 6FM120X</v>
      </c>
      <c r="D376" s="67">
        <f>'.'!F353</f>
        <v>274.85</v>
      </c>
      <c r="E376" s="120"/>
    </row>
    <row r="377">
      <c r="A377" s="106">
        <f>'.'!A354</f>
        <v>304</v>
      </c>
      <c r="B377" s="26" t="str">
        <f>'.'!C354</f>
        <v>INMEDIATO</v>
      </c>
      <c r="C377" s="27" t="str">
        <f>'.'!D354</f>
        <v>BATERIA VISION 12 V - 150AH. 6FM150EX </v>
      </c>
      <c r="D377" s="67">
        <f>'.'!F354</f>
        <v>312.8</v>
      </c>
      <c r="E377" s="31" t="s">
        <v>20</v>
      </c>
    </row>
    <row r="378">
      <c r="A378" s="106">
        <f>'.'!A355</f>
        <v>305</v>
      </c>
      <c r="B378" s="26" t="str">
        <f>'.'!C355</f>
        <v>INMEDIATO</v>
      </c>
      <c r="C378" s="27" t="str">
        <f>'.'!D355</f>
        <v>BATERIA VISION 12 V - 230AH. 6FM230X </v>
      </c>
      <c r="D378" s="67">
        <f>'.'!F355</f>
        <v>435.85</v>
      </c>
      <c r="E378" s="31" t="s">
        <v>20</v>
      </c>
    </row>
    <row r="379">
      <c r="A379" s="106">
        <f>'.'!A356</f>
        <v>306</v>
      </c>
      <c r="B379" s="26" t="str">
        <f>'.'!C356</f>
        <v>INMEDIATO</v>
      </c>
      <c r="C379" s="27" t="str">
        <f>'.'!D356</f>
        <v>BATERIA VISION 6 V - 225AH. 3FM225X</v>
      </c>
      <c r="D379" s="67">
        <f>'.'!F356</f>
        <v>228.85</v>
      </c>
      <c r="E379" s="79"/>
      <c r="G379" s="121"/>
    </row>
    <row r="380">
      <c r="A380" s="106">
        <f>'.'!A357</f>
        <v>307</v>
      </c>
      <c r="B380" s="26" t="str">
        <f>'.'!C357</f>
        <v>INMEDIATO</v>
      </c>
      <c r="C380" s="27" t="str">
        <f>'.'!D357</f>
        <v>BATERIA DETROIT 12V 100 AH</v>
      </c>
      <c r="D380" s="67">
        <f>'.'!F357</f>
        <v>185.334</v>
      </c>
      <c r="E380" s="70"/>
      <c r="G380" s="121"/>
    </row>
    <row r="381">
      <c r="A381" s="106">
        <f>'.'!A358</f>
        <v>308</v>
      </c>
      <c r="B381" s="26" t="str">
        <f>'.'!C358</f>
        <v>INMEDIATO</v>
      </c>
      <c r="C381" s="27" t="str">
        <f>'.'!D358</f>
        <v>BATERIA DETROIT 12V 150 AH</v>
      </c>
      <c r="D381" s="67">
        <f>'.'!F358</f>
        <v>303.186</v>
      </c>
      <c r="E381" s="70"/>
      <c r="G381" s="121"/>
    </row>
    <row r="382">
      <c r="A382" s="119" t="s">
        <v>47</v>
      </c>
      <c r="B382" s="15"/>
      <c r="C382" s="15"/>
      <c r="D382" s="15"/>
      <c r="E382" s="65"/>
      <c r="G382" s="121"/>
    </row>
    <row r="383">
      <c r="A383" s="106">
        <f>'.'!A360</f>
        <v>309</v>
      </c>
      <c r="B383" s="26" t="str">
        <f>'.'!C360</f>
        <v/>
      </c>
      <c r="C383" s="27" t="str">
        <f>'.'!D360</f>
        <v>BATERIA  ETERNITY 12 V - 150AH. T-1275</v>
      </c>
      <c r="D383" s="67" t="str">
        <f>'.'!F360</f>
        <v/>
      </c>
      <c r="E383" s="79"/>
    </row>
    <row r="384">
      <c r="A384" s="106">
        <f>'.'!A361</f>
        <v>310</v>
      </c>
      <c r="B384" s="26" t="str">
        <f>'.'!C361</f>
        <v>INMEDIATO</v>
      </c>
      <c r="C384" s="27" t="str">
        <f>'.'!D361</f>
        <v>BATERIA  ETERNITY 6 V - 315AH. J305G</v>
      </c>
      <c r="D384" s="67">
        <f>'.'!F361</f>
        <v>396.75</v>
      </c>
      <c r="E384" s="79"/>
    </row>
    <row r="385">
      <c r="A385" s="106">
        <f>'.'!A362</f>
        <v>311</v>
      </c>
      <c r="B385" s="26" t="str">
        <f>'.'!C362</f>
        <v>INMEDIATO</v>
      </c>
      <c r="C385" s="27" t="str">
        <f>'.'!D362</f>
        <v>BATERIA ETERNITY 6 V - 390AH. L16G</v>
      </c>
      <c r="D385" s="67">
        <f>'.'!F362</f>
        <v>465.75</v>
      </c>
      <c r="E385" s="32" t="s">
        <v>20</v>
      </c>
    </row>
    <row r="386">
      <c r="A386" s="106">
        <f>'.'!A363</f>
        <v>312</v>
      </c>
      <c r="B386" s="26" t="str">
        <f>'.'!C363</f>
        <v>INMEDIATO</v>
      </c>
      <c r="C386" s="27" t="str">
        <f>'.'!D363</f>
        <v>BATERIA ETERNITY 6 V - 435AH. L16H</v>
      </c>
      <c r="D386" s="67">
        <f>'.'!F363</f>
        <v>537.05</v>
      </c>
      <c r="E386" s="79"/>
    </row>
    <row r="387">
      <c r="A387" s="106">
        <f>'.'!A364</f>
        <v>313</v>
      </c>
      <c r="B387" s="26" t="str">
        <f>'.'!C364</f>
        <v>INMEDIATO</v>
      </c>
      <c r="C387" s="27" t="str">
        <f>'.'!D364</f>
        <v>BATERIA  ETERNITY 6 V - 225AH. </v>
      </c>
      <c r="D387" s="67">
        <f>'.'!F364</f>
        <v>236.9</v>
      </c>
      <c r="E387" s="79"/>
    </row>
    <row r="388">
      <c r="A388" s="106">
        <f>'.'!A365</f>
        <v>314</v>
      </c>
      <c r="B388" s="26" t="str">
        <f>'.'!C365</f>
        <v>INMEDIATO</v>
      </c>
      <c r="C388" s="27" t="str">
        <f>'.'!D365</f>
        <v>BATERIA ETERNITY 8 V - 145AH. T-875</v>
      </c>
      <c r="D388" s="67">
        <f>'.'!F365</f>
        <v>230</v>
      </c>
      <c r="E388" s="79"/>
    </row>
    <row r="389">
      <c r="A389" s="106">
        <f>'.'!A366</f>
        <v>315</v>
      </c>
      <c r="B389" s="26" t="str">
        <f>'.'!C366</f>
        <v>INMEDIATO</v>
      </c>
      <c r="C389" s="27" t="str">
        <f>'.'!D366</f>
        <v>BATERIA ETERNITY 8 V - 170AH. T-875</v>
      </c>
      <c r="D389" s="67">
        <f>'.'!F366</f>
        <v>305.9</v>
      </c>
      <c r="E389" s="70"/>
    </row>
    <row r="390">
      <c r="A390" s="106">
        <f>'.'!A367</f>
        <v>316</v>
      </c>
      <c r="B390" s="26" t="str">
        <f>'.'!C367</f>
        <v>INMEDIATO</v>
      </c>
      <c r="C390" s="27" t="str">
        <f>'.'!D367</f>
        <v>BATERIA TROJAN 12 V - 85AH. 24TMX</v>
      </c>
      <c r="D390" s="67">
        <f>'.'!F367</f>
        <v>301.3</v>
      </c>
      <c r="E390" s="79"/>
    </row>
    <row r="391">
      <c r="A391" s="106">
        <f>'.'!A368</f>
        <v>317</v>
      </c>
      <c r="B391" s="26" t="str">
        <f>'.'!C368</f>
        <v>INMEDIATO</v>
      </c>
      <c r="C391" s="27" t="str">
        <f>'.'!D368</f>
        <v>BATERIA TROJAN 12 V - 105AH. 27TMX </v>
      </c>
      <c r="D391" s="67">
        <f>'.'!F368</f>
        <v>334.65</v>
      </c>
      <c r="E391" s="84"/>
    </row>
    <row r="392">
      <c r="A392" s="106">
        <f>'.'!A369</f>
        <v>318</v>
      </c>
      <c r="B392" s="26" t="str">
        <f>'.'!C369</f>
        <v>INMEDIATO</v>
      </c>
      <c r="C392" s="27" t="str">
        <f>'.'!D369</f>
        <v>BATERIA TROJAN 12 V - 130AH. SCS225</v>
      </c>
      <c r="D392" s="67">
        <f>'.'!F369</f>
        <v>430.1</v>
      </c>
      <c r="E392" s="79"/>
    </row>
    <row r="393">
      <c r="A393" s="106">
        <f>'.'!A370</f>
        <v>319</v>
      </c>
      <c r="B393" s="26" t="str">
        <f>'.'!C370</f>
        <v>INMEDIATO</v>
      </c>
      <c r="C393" s="27" t="str">
        <f>'.'!D370</f>
        <v>BATERIA TROJAN 6 V - 210AH. T-605</v>
      </c>
      <c r="D393" s="67">
        <f>'.'!F370</f>
        <v>284.05</v>
      </c>
      <c r="E393" s="79"/>
    </row>
    <row r="394">
      <c r="A394" s="106">
        <f>'.'!A371</f>
        <v>320</v>
      </c>
      <c r="B394" s="26" t="str">
        <f>'.'!C371</f>
        <v>INMEDIATO</v>
      </c>
      <c r="C394" s="27" t="str">
        <f>'.'!D371</f>
        <v>BATERIA TROJAN 6 V - 315AH. J305G</v>
      </c>
      <c r="D394" s="67">
        <f>'.'!F371</f>
        <v>547.4</v>
      </c>
      <c r="E394" s="70"/>
    </row>
    <row r="395">
      <c r="A395" s="106">
        <f>'.'!A372</f>
        <v>321</v>
      </c>
      <c r="B395" s="26" t="str">
        <f>'.'!C372</f>
        <v>INMEDIATO</v>
      </c>
      <c r="C395" s="27" t="str">
        <f>'.'!D372</f>
        <v>BATERIA TROJAN 6 V - 390AH. L16G</v>
      </c>
      <c r="D395" s="67">
        <f>'.'!F372</f>
        <v>646.3</v>
      </c>
      <c r="E395" s="70"/>
    </row>
    <row r="396">
      <c r="A396" s="106">
        <f>'.'!A373</f>
        <v>322</v>
      </c>
      <c r="B396" s="26" t="str">
        <f>'.'!C373</f>
        <v>INMEDIATO</v>
      </c>
      <c r="C396" s="27" t="str">
        <f>'.'!D373</f>
        <v>BATERIA TROJAN 6 V - 435AH. L16H</v>
      </c>
      <c r="D396" s="67">
        <f>'.'!F373</f>
        <v>813.05</v>
      </c>
      <c r="E396" s="70"/>
    </row>
    <row r="397">
      <c r="A397" s="106">
        <f>'.'!A374</f>
        <v>323</v>
      </c>
      <c r="B397" s="26" t="str">
        <f>'.'!C374</f>
        <v>INMEDIATO</v>
      </c>
      <c r="C397" s="27" t="str">
        <f>'.'!D374</f>
        <v>BATERIA TROJAN 6 V - 225AH. T-105</v>
      </c>
      <c r="D397" s="67">
        <f>'.'!F374</f>
        <v>308.2</v>
      </c>
      <c r="E397" s="70"/>
    </row>
    <row r="398">
      <c r="A398" s="106">
        <f>'.'!A375</f>
        <v>324</v>
      </c>
      <c r="B398" s="26" t="str">
        <f>'.'!C375</f>
        <v>INMEDIATO</v>
      </c>
      <c r="C398" s="27" t="str">
        <f>'.'!D375</f>
        <v>BATERIA TROJAN 6 V - 210AH. T-605</v>
      </c>
      <c r="D398" s="67">
        <f>'.'!F375</f>
        <v>284.05</v>
      </c>
      <c r="E398" s="70"/>
    </row>
    <row r="399">
      <c r="A399" s="122" t="s">
        <v>48</v>
      </c>
      <c r="B399" s="15"/>
      <c r="C399" s="15"/>
      <c r="D399" s="15"/>
      <c r="E399" s="65"/>
    </row>
    <row r="400">
      <c r="A400" s="106">
        <f>'.'!A377</f>
        <v>325</v>
      </c>
      <c r="B400" s="26" t="str">
        <f>'.'!C377</f>
        <v>INMEDIATO</v>
      </c>
      <c r="C400" s="27" t="str">
        <f>'.'!D377</f>
        <v>CABLE SOLAR 4 MM (ROJO O NEGRO) (USD/mt) -  SLOCABLE (si hay que abrir rollo de 250 mts)</v>
      </c>
      <c r="D400" s="67">
        <f>'.'!F377</f>
        <v>1.176</v>
      </c>
      <c r="E400" s="32" t="s">
        <v>20</v>
      </c>
    </row>
    <row r="401">
      <c r="A401" s="106">
        <f>'.'!A378</f>
        <v>326</v>
      </c>
      <c r="B401" s="26" t="str">
        <f>'.'!C378</f>
        <v>INMEDIATO</v>
      </c>
      <c r="C401" s="27" t="str">
        <f>'.'!D378</f>
        <v>CABLE SOLAR 6 MM (ROJO O NEGRO) (USD/mt) -  SLOCABLE (si hay que abrir rollo de 200 mts)</v>
      </c>
      <c r="D401" s="67">
        <f>'.'!F378</f>
        <v>1.456</v>
      </c>
      <c r="E401" s="32" t="s">
        <v>20</v>
      </c>
    </row>
    <row r="402">
      <c r="A402" s="106">
        <f>'.'!A379</f>
        <v>327</v>
      </c>
      <c r="B402" s="26" t="str">
        <f>'.'!C379</f>
        <v>INMEDIATO</v>
      </c>
      <c r="C402" s="27" t="str">
        <f>'.'!D379</f>
        <v>CABLE SOLAR 4 MM (ROJO O NEGRO) (USD/mt) -  SLOCABLE (si no hay que abrir rollo de 250 mts)</v>
      </c>
      <c r="D402" s="67">
        <f>'.'!F379</f>
        <v>1.0752</v>
      </c>
      <c r="E402" s="32" t="s">
        <v>20</v>
      </c>
    </row>
    <row r="403">
      <c r="A403" s="106">
        <f>'.'!A380</f>
        <v>328</v>
      </c>
      <c r="B403" s="26" t="str">
        <f>'.'!C380</f>
        <v>INMEDIATO</v>
      </c>
      <c r="C403" s="27" t="str">
        <f>'.'!D380</f>
        <v>CABLE SOLAR 6 MM (ROJO O NEGRO) (USD/mt) -  SLOCABLE (si no hay que abrir rollo de 200 mts)</v>
      </c>
      <c r="D403" s="67">
        <f>'.'!F380</f>
        <v>1.4224</v>
      </c>
      <c r="E403" s="32" t="s">
        <v>20</v>
      </c>
    </row>
    <row r="404">
      <c r="A404" s="106">
        <f>'.'!A381</f>
        <v>329</v>
      </c>
      <c r="B404" s="26" t="str">
        <f>'.'!C381</f>
        <v>INMEDIATO</v>
      </c>
      <c r="C404" s="27" t="str">
        <f>'.'!D381</f>
        <v>CABLE SOLAR 4 MM (ROJO O NEGRO) (USD/mt) - AMPHENOL  (pedido menor a 250 mts)</v>
      </c>
      <c r="D404" s="67">
        <f>'.'!F381</f>
        <v>0.8364</v>
      </c>
      <c r="E404" s="123" t="s">
        <v>20</v>
      </c>
      <c r="F404" s="38"/>
      <c r="G404" s="38"/>
    </row>
    <row r="405">
      <c r="A405" s="106">
        <f>'.'!A382</f>
        <v>330</v>
      </c>
      <c r="B405" s="26" t="str">
        <f>'.'!C382</f>
        <v>SIN FECHA ESTIMADA</v>
      </c>
      <c r="C405" s="27" t="str">
        <f>'.'!D382</f>
        <v>CABLE SOLAR 6 MM (ROJO O NEGRO) (USD/mt) - AMPHENOL  (pedido menor a 250 mts)</v>
      </c>
      <c r="D405" s="67">
        <f>'.'!F382</f>
        <v>1.308</v>
      </c>
      <c r="E405" s="123" t="s">
        <v>20</v>
      </c>
    </row>
    <row r="406">
      <c r="A406" s="106">
        <f>'.'!A383</f>
        <v>331</v>
      </c>
      <c r="B406" s="26" t="str">
        <f>'.'!C383</f>
        <v>INMEDIATO</v>
      </c>
      <c r="C406" s="44" t="str">
        <f>'.'!D383</f>
        <v>CABLE SOLAR 4 MM (ROJO O NEGRO) (USD/mt) - AMPHENOL  (minimo 500 mts)</v>
      </c>
      <c r="D406" s="113">
        <f>'.'!F383</f>
        <v>0.8092</v>
      </c>
      <c r="E406" s="123" t="s">
        <v>20</v>
      </c>
    </row>
    <row r="407">
      <c r="A407" s="106">
        <f>'.'!A384</f>
        <v>332</v>
      </c>
      <c r="B407" s="26" t="str">
        <f>'.'!C384</f>
        <v>SIN FECHA ESTIMADA</v>
      </c>
      <c r="C407" s="27" t="str">
        <f>'.'!D384</f>
        <v>CABLE SOLAR 6 MM (ROJO O NEGRO) (USD/mt) - AMPHENOL (minimo 500 mts)</v>
      </c>
      <c r="D407" s="67">
        <f>'.'!F384</f>
        <v>1.2535</v>
      </c>
      <c r="E407" s="123" t="s">
        <v>20</v>
      </c>
    </row>
    <row r="408">
      <c r="A408" s="106">
        <f>'.'!A385</f>
        <v>333</v>
      </c>
      <c r="B408" s="26" t="str">
        <f>'.'!C385</f>
        <v>INMEDIATO</v>
      </c>
      <c r="C408" s="27" t="str">
        <f>'.'!D385</f>
        <v>CABLE SOLAR 4 MM (ROJO O NEGRO) (USD/mt) - NACIONAL (minimo 900 mts)</v>
      </c>
      <c r="D408" s="67">
        <f>'.'!F385</f>
        <v>0.9435</v>
      </c>
      <c r="E408" s="32" t="s">
        <v>20</v>
      </c>
    </row>
    <row r="409">
      <c r="A409" s="106">
        <f>'.'!A386</f>
        <v>334</v>
      </c>
      <c r="B409" s="26" t="str">
        <f>'.'!C386</f>
        <v>INMEDIATO</v>
      </c>
      <c r="C409" s="27" t="str">
        <f>'.'!D386</f>
        <v>CABLE SOLAR 6 MM (ROJO O NEGRO) (USD/mt) - NACIONAL (minimo 900 mts)</v>
      </c>
      <c r="D409" s="67">
        <f>'.'!F386</f>
        <v>1.37</v>
      </c>
      <c r="E409" s="79"/>
    </row>
    <row r="410">
      <c r="A410" s="106">
        <f>'.'!A387</f>
        <v>335</v>
      </c>
      <c r="B410" s="26" t="str">
        <f>'.'!C387</f>
        <v>INMEDIATO</v>
      </c>
      <c r="C410" s="44" t="str">
        <f>'.'!D387</f>
        <v>CABLE SOLAR 6 MM (ROJO O NEGRO) (USD/mt) - REFRIPLAY (minimo 500 mts)</v>
      </c>
      <c r="D410" s="113">
        <f>'.'!F387</f>
        <v>1.2508</v>
      </c>
      <c r="E410" s="72" t="s">
        <v>20</v>
      </c>
    </row>
    <row r="411">
      <c r="A411" s="106">
        <f>'.'!A388</f>
        <v>336</v>
      </c>
      <c r="B411" s="26" t="str">
        <f>'.'!C388</f>
        <v>INMEDIATO</v>
      </c>
      <c r="C411" s="35" t="str">
        <f>'.'!D388</f>
        <v>CABLE SOLAR 4 MM (ROJO O NEGRO) (USD/mt) - REFRIPLAY (minimo 500 mts)</v>
      </c>
      <c r="D411" s="67">
        <f>'.'!F388</f>
        <v>0.88188</v>
      </c>
      <c r="E411" s="71"/>
    </row>
    <row r="412">
      <c r="A412" s="106">
        <f>'.'!A389</f>
        <v>337</v>
      </c>
      <c r="B412" s="26" t="str">
        <f>'.'!C389</f>
        <v>INMEDIATO</v>
      </c>
      <c r="C412" s="27" t="str">
        <f>'.'!D389</f>
        <v>CABLE SOLAR 10 MM (ROJO O NEGRO) (USD/mt) -  NACIONAL (minimo 250 mts)</v>
      </c>
      <c r="D412" s="67">
        <f>'.'!F389</f>
        <v>2.136</v>
      </c>
      <c r="E412" s="70"/>
    </row>
    <row r="413">
      <c r="A413" s="106">
        <f>'.'!A390</f>
        <v>338</v>
      </c>
      <c r="B413" s="26" t="str">
        <f>'.'!C390</f>
        <v>INMEDIATO</v>
      </c>
      <c r="C413" s="27" t="str">
        <f>'.'!D390</f>
        <v>CABLE SOLAR 10 MM (ROJO O NEGRO) (USD/mt) -  SLOCABLE (minimo 250 mts)</v>
      </c>
      <c r="D413" s="67">
        <f>'.'!F390</f>
        <v>2.323</v>
      </c>
      <c r="E413" s="70"/>
    </row>
    <row r="414">
      <c r="A414" s="122" t="s">
        <v>49</v>
      </c>
      <c r="B414" s="15"/>
      <c r="C414" s="15"/>
      <c r="D414" s="15"/>
      <c r="E414" s="65"/>
    </row>
    <row r="415">
      <c r="A415" s="106">
        <f>'.'!A392</f>
        <v>339</v>
      </c>
      <c r="B415" s="26" t="str">
        <f>'.'!C392</f>
        <v>INMEDIATO</v>
      </c>
      <c r="C415" s="27" t="str">
        <f>'.'!D392</f>
        <v>3x185/95 CU - sx4185 (usd/mt)</v>
      </c>
      <c r="D415" s="124">
        <f>'.'!F392</f>
        <v>126.996</v>
      </c>
      <c r="E415" s="125" t="s">
        <v>20</v>
      </c>
    </row>
    <row r="416">
      <c r="A416" s="106">
        <f>'.'!A393</f>
        <v>340</v>
      </c>
      <c r="B416" s="26" t="str">
        <f>'.'!C393</f>
        <v>INMEDIATO</v>
      </c>
      <c r="C416" s="27" t="str">
        <f>'.'!D393</f>
        <v>3x185/95 AL - sxal4185 (usd/mt)</v>
      </c>
      <c r="D416" s="124">
        <f>'.'!F393</f>
        <v>38.796</v>
      </c>
      <c r="E416" s="125" t="s">
        <v>20</v>
      </c>
    </row>
    <row r="417">
      <c r="A417" s="126"/>
      <c r="B417" s="127"/>
      <c r="C417" s="15"/>
      <c r="D417" s="15"/>
      <c r="E417" s="65"/>
    </row>
    <row r="418">
      <c r="A418" s="122" t="s">
        <v>50</v>
      </c>
      <c r="B418" s="15"/>
      <c r="C418" s="15"/>
      <c r="D418" s="15"/>
      <c r="E418" s="65"/>
    </row>
    <row r="419">
      <c r="A419" s="106">
        <f>'.'!A396</f>
        <v>341</v>
      </c>
      <c r="B419" s="26" t="str">
        <f>'.'!C396</f>
        <v>INMEDIATO</v>
      </c>
      <c r="C419" s="27" t="str">
        <f>'.'!D396</f>
        <v>JUEGO M/H FICHAS MC4 2.5 ~ 6MM -1500V P/CABLE - SLOCABLE</v>
      </c>
      <c r="D419" s="67">
        <f>'.'!F395</f>
        <v>1.5</v>
      </c>
      <c r="E419" s="32" t="s">
        <v>20</v>
      </c>
    </row>
    <row r="420">
      <c r="A420" s="106">
        <f>'.'!A397</f>
        <v>342</v>
      </c>
      <c r="B420" s="26" t="str">
        <f>'.'!C397</f>
        <v>INMEDIATO</v>
      </c>
      <c r="C420" s="27" t="str">
        <f>'.'!D397</f>
        <v>JUEGO M/H FICHAS MC4 2.5 ~ 6MM -1500V P/CHASIS - SLOCABLE</v>
      </c>
      <c r="D420" s="67">
        <f>'.'!F396</f>
        <v>1.6</v>
      </c>
      <c r="E420" s="32" t="s">
        <v>20</v>
      </c>
    </row>
    <row r="421">
      <c r="A421" s="106">
        <f>'.'!A398</f>
        <v>343</v>
      </c>
      <c r="B421" s="26" t="str">
        <f>'.'!C398</f>
        <v>INMEDIATO</v>
      </c>
      <c r="C421" s="27" t="str">
        <f>'.'!D398</f>
        <v>Juego 2M-1H/1M-2H Fichas MC4-1500V - Divisor por 2</v>
      </c>
      <c r="D421" s="67">
        <f>'.'!F397</f>
        <v>7.3125</v>
      </c>
      <c r="E421" s="32" t="s">
        <v>20</v>
      </c>
    </row>
    <row r="422">
      <c r="A422" s="106">
        <f>'.'!A399</f>
        <v>344</v>
      </c>
      <c r="B422" s="26" t="str">
        <f>'.'!C399</f>
        <v>INMEDIATO</v>
      </c>
      <c r="C422" s="27" t="str">
        <f>'.'!D399</f>
        <v>Juego 3M-1H/1M-3H Fichas MC4-1500V- Divisor por 3</v>
      </c>
      <c r="D422" s="67">
        <f>'.'!F398</f>
        <v>10.975</v>
      </c>
      <c r="E422" s="32" t="s">
        <v>20</v>
      </c>
    </row>
    <row r="423">
      <c r="A423" s="106">
        <f>'.'!A400</f>
        <v>345</v>
      </c>
      <c r="B423" s="26" t="str">
        <f>'.'!C400</f>
        <v>INMEDIATO</v>
      </c>
      <c r="C423" s="27" t="str">
        <f>'.'!D400</f>
        <v>Ficha MC4 M/H con diodo 20A interno</v>
      </c>
      <c r="D423" s="67">
        <f>'.'!F399</f>
        <v>10.975</v>
      </c>
      <c r="E423" s="32" t="s">
        <v>20</v>
      </c>
    </row>
    <row r="424">
      <c r="A424" s="106">
        <f>'.'!A401</f>
        <v>346</v>
      </c>
      <c r="B424" s="26" t="str">
        <f>'.'!C401</f>
        <v>INMEDIATO</v>
      </c>
      <c r="C424" s="27" t="str">
        <f>'.'!D401</f>
        <v>Ficha MC4 M/H con fusible ceramico 10x38 interno - 1000V/20A</v>
      </c>
      <c r="D424" s="67">
        <f>'.'!F400</f>
        <v>10.975</v>
      </c>
      <c r="E424" s="32" t="s">
        <v>20</v>
      </c>
    </row>
    <row r="425">
      <c r="A425" s="106">
        <f>'.'!A402</f>
        <v>347</v>
      </c>
      <c r="B425" s="26" t="str">
        <f>'.'!C402</f>
        <v>INMEDIATO</v>
      </c>
      <c r="C425" s="27" t="str">
        <f>'.'!D402</f>
        <v>DPS Clase II para AC 2 polos 275V/30KA - SLOCABLE</v>
      </c>
      <c r="D425" s="67">
        <f>'.'!F401</f>
        <v>15.795</v>
      </c>
      <c r="E425" s="32" t="s">
        <v>20</v>
      </c>
    </row>
    <row r="426">
      <c r="A426" s="106">
        <f>'.'!A403</f>
        <v>348</v>
      </c>
      <c r="B426" s="26" t="str">
        <f>'.'!C403</f>
        <v>INMEDIATO</v>
      </c>
      <c r="C426" s="27" t="str">
        <f>'.'!D403</f>
        <v>DPS Clase II para AC 4 polos 385V/30KA - SLOCABLE</v>
      </c>
      <c r="D426" s="67">
        <f>'.'!F402</f>
        <v>30.5235</v>
      </c>
      <c r="E426" s="32" t="s">
        <v>20</v>
      </c>
    </row>
    <row r="427">
      <c r="A427" s="106">
        <f>'.'!A404</f>
        <v>349</v>
      </c>
      <c r="B427" s="26" t="str">
        <f>'.'!C404</f>
        <v>INMEDIATO</v>
      </c>
      <c r="C427" s="27" t="str">
        <f>'.'!D404</f>
        <v>DPS Clase II para DC 2 polos 600V/40KA</v>
      </c>
      <c r="D427" s="67">
        <f>'.'!F403</f>
        <v>25.137</v>
      </c>
      <c r="E427" s="32" t="s">
        <v>20</v>
      </c>
    </row>
    <row r="428">
      <c r="A428" s="106">
        <f>'.'!A405</f>
        <v>350</v>
      </c>
      <c r="B428" s="26" t="str">
        <f>'.'!C405</f>
        <v>INMEDIATO</v>
      </c>
      <c r="C428" s="27" t="str">
        <f>'.'!D405</f>
        <v>DPS Clase II para DC 3 polos 1000V/40KA - SLOCABLE</v>
      </c>
      <c r="D428" s="67">
        <f>'.'!F404</f>
        <v>32.319</v>
      </c>
      <c r="E428" s="32" t="s">
        <v>20</v>
      </c>
    </row>
    <row r="429">
      <c r="A429" s="106">
        <f>'.'!A406</f>
        <v>351</v>
      </c>
      <c r="B429" s="26" t="str">
        <f>'.'!C406</f>
        <v>INMEDIATO</v>
      </c>
      <c r="C429" s="27" t="str">
        <f>'.'!D406</f>
        <v>Switch de Batería de 4 posiciones 270A - SLOCABLE</v>
      </c>
      <c r="D429" s="67">
        <f>'.'!F405</f>
        <v>19.152</v>
      </c>
      <c r="E429" s="32" t="s">
        <v>20</v>
      </c>
    </row>
    <row r="430">
      <c r="A430" s="106">
        <f>'.'!A407</f>
        <v>352</v>
      </c>
      <c r="B430" s="26" t="str">
        <f>'.'!C407</f>
        <v>INMEDIATO</v>
      </c>
      <c r="C430" s="27" t="str">
        <f>'.'!D407</f>
        <v>Caja de pase con llave de corte de 32A, 4 polos, y conectores MC4 para E/S 2 Circuitos - SLOCABLE</v>
      </c>
      <c r="D430" s="67">
        <f>'.'!F406</f>
        <v>72.144</v>
      </c>
      <c r="E430" s="32" t="s">
        <v>20</v>
      </c>
    </row>
    <row r="431">
      <c r="A431" s="106">
        <f>'.'!A408</f>
        <v>353</v>
      </c>
      <c r="B431" s="26" t="str">
        <f>'.'!C408</f>
        <v>INMEDIATO</v>
      </c>
      <c r="C431" s="27" t="str">
        <f>'.'!D408</f>
        <v>Estuche con Crimpeadora MC4 / Pelacables y 2 llaves de armado de fichas MC4 - SLOCABLE</v>
      </c>
      <c r="D431" s="67">
        <f>'.'!F407</f>
        <v>102.144</v>
      </c>
      <c r="E431" s="33"/>
    </row>
    <row r="432">
      <c r="A432" s="106">
        <f>'.'!A409</f>
        <v>354</v>
      </c>
      <c r="B432" s="26" t="str">
        <f>'.'!C409</f>
        <v>INMEDIATO</v>
      </c>
      <c r="C432" s="27" t="str">
        <f>'.'!D409</f>
        <v>Juego de 2 Llaves de armado de fichas MC4 - SLOCABLE</v>
      </c>
      <c r="D432" s="67">
        <f>'.'!F408</f>
        <v>2.625</v>
      </c>
      <c r="E432" s="32" t="s">
        <v>20</v>
      </c>
    </row>
    <row r="433">
      <c r="A433" s="106">
        <f>'.'!A410</f>
        <v>355</v>
      </c>
      <c r="B433" s="26" t="str">
        <f>'.'!C410</f>
        <v>INMEDIATO</v>
      </c>
      <c r="C433" s="27" t="str">
        <f>'.'!D410</f>
        <v>PORTAFUSIBLE DC (10X38) 1000V/30A - YINRONG (SLOCABLE)</v>
      </c>
      <c r="D433" s="67">
        <f>'.'!E410</f>
        <v>15.87</v>
      </c>
      <c r="E433" s="32" t="s">
        <v>20</v>
      </c>
    </row>
    <row r="434">
      <c r="A434" s="106">
        <f>'.'!A411</f>
        <v>356</v>
      </c>
      <c r="B434" s="26" t="str">
        <f>'.'!C411</f>
        <v>INMEDIATO</v>
      </c>
      <c r="C434" s="27" t="str">
        <f>'.'!D411</f>
        <v>Portafusible Tipo Tabaquera 1P 30A/1000Vdc Riel DIN p/ Fusible Solar 10x38 marca Projoy - se vende de a 30 unidades</v>
      </c>
      <c r="D434" s="67">
        <f>'.'!F411</f>
        <v>10.95</v>
      </c>
      <c r="E434" s="128" t="s">
        <v>20</v>
      </c>
    </row>
    <row r="435">
      <c r="A435" s="106">
        <f>'.'!A412</f>
        <v>357</v>
      </c>
      <c r="B435" s="26" t="str">
        <f>'.'!C412</f>
        <v>INMEDIATO</v>
      </c>
      <c r="C435" s="27" t="str">
        <f>'.'!D412</f>
        <v>FUSIBLE CERAMICO DC 10X38 20A/1000V - YINRONG (SLOCABLE)</v>
      </c>
      <c r="D435" s="67">
        <f>'.'!F412</f>
        <v>4.5</v>
      </c>
      <c r="E435" s="32" t="s">
        <v>20</v>
      </c>
    </row>
    <row r="436">
      <c r="A436" s="106">
        <f>'.'!A413</f>
        <v>358</v>
      </c>
      <c r="B436" s="26" t="str">
        <f>'.'!C413</f>
        <v>INMEDIATO</v>
      </c>
      <c r="C436" s="27" t="str">
        <f>'.'!D413</f>
        <v>Fusible Solar Projoy DC 20A/1000VDC 10x38 o 25A/1000VDC 10x38 o 30A/1000VDC 10x38 - se vende de a 30 unid solo con portafusibles projoy</v>
      </c>
      <c r="D436" s="67">
        <f>'.'!F413</f>
        <v>4.3</v>
      </c>
      <c r="E436" s="66"/>
    </row>
    <row r="437">
      <c r="A437" s="106"/>
      <c r="B437" s="26" t="str">
        <f>'.'!C414</f>
        <v/>
      </c>
      <c r="C437" s="27" t="str">
        <f>'.'!D414</f>
        <v/>
      </c>
      <c r="D437" s="67"/>
      <c r="E437" s="66"/>
    </row>
    <row r="438">
      <c r="A438" s="129" t="s">
        <v>51</v>
      </c>
      <c r="B438" s="15"/>
      <c r="C438" s="15"/>
      <c r="D438" s="15"/>
      <c r="E438" s="65"/>
    </row>
    <row r="439">
      <c r="A439" s="130">
        <f>'.'!A415</f>
        <v>360</v>
      </c>
      <c r="B439" s="131" t="str">
        <f>'.'!C415</f>
        <v>INMEDIATO</v>
      </c>
      <c r="C439" s="132" t="str">
        <f>'.'!D415</f>
        <v>Estructura completa, para piso, con inlcinacion a 30 grados, de mesa para 18 paneles en acero galvanizado, con buloneria, grampas y anclajes. Para la fijacion al suelo las patas traseras tienen pelos y se hacen pozos y se hormigonea en el suelo con la distribucion del plano. No incluye armado. No incluye hormigon. Compra minima: 5 unidades para 18 paneles cada una. Se puede modificar el diseño segun las mesas del cliente. 60 dias corridos de fabricacion. Precio por panel</v>
      </c>
      <c r="D439" s="133">
        <f>'.'!F415</f>
        <v>57.55</v>
      </c>
      <c r="E439" s="134" t="s">
        <v>20</v>
      </c>
      <c r="F439" s="37"/>
      <c r="G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</row>
    <row r="440">
      <c r="A440" s="129" t="s">
        <v>52</v>
      </c>
      <c r="B440" s="15"/>
      <c r="C440" s="15"/>
      <c r="D440" s="15"/>
      <c r="E440" s="65"/>
    </row>
    <row r="441">
      <c r="A441" s="106">
        <f>'.'!A417</f>
        <v>361</v>
      </c>
      <c r="B441" s="26" t="str">
        <f>'.'!C417</f>
        <v>POR ENCARGO</v>
      </c>
      <c r="C441" s="27" t="str">
        <f>'.'!D417</f>
        <v>Estructura Soporte Tipo Coplanar por tramos 50 cm - Paneles 110/144 - Techo de chapa - Incluye bulon autoperforante acero inox. 6,1 x 22 mm - Grampas finales e intermadias regulables para perfil de panel de 30 hasta 40 mm - Cinta EPDM para perforacion del techo de chapa- precio por panel</v>
      </c>
      <c r="D441" s="135">
        <f>'.'!F417</f>
        <v>13.804</v>
      </c>
      <c r="E441" s="136" t="s">
        <v>20</v>
      </c>
    </row>
    <row r="442">
      <c r="A442" s="106">
        <f>'.'!A418</f>
        <v>362</v>
      </c>
      <c r="B442" s="26" t="str">
        <f>'.'!C418</f>
        <v>POR ENCARGO</v>
      </c>
      <c r="C442" s="27" t="str">
        <f>'.'!D418</f>
        <v>Estructura Soporte Tipo Coplanar Perfiles completos 4800 mm- Paneles 110/144 -Cubiertas Ceramicas, metalicas y fibrocemento - Incluye
perno para viga metálica ,medidas: 25 cm de acero al carbono SCM 435 en la punta perforante y el resto de acero inoxidable 304 - Grampas finales e
intermadias regulables para perfil de panel de 30 hasta 40 mm - precio por panel</v>
      </c>
      <c r="D442" s="135">
        <f>'.'!F418</f>
        <v>29</v>
      </c>
      <c r="E442" s="136" t="s">
        <v>20</v>
      </c>
    </row>
    <row r="443">
      <c r="A443" s="106">
        <f>'.'!A419</f>
        <v>363</v>
      </c>
      <c r="B443" s="26" t="str">
        <f>'.'!C419</f>
        <v>INMEDIATO </v>
      </c>
      <c r="C443" s="27" t="str">
        <f>'.'!D419</f>
        <v>Estructura Soporte Con inclinacion - Ajustable desde 10° hasta 30°- Paneles 110/144 -Cubiertas metalicas y fibrocemento - Incluye 4 unidades de
anclaje con tuerca y arandela por soporte, medidas 5/16 x 75 mm - Grampas finales e intermadias regulables para perfil de panel de 30 hasta 40 mm- precio por panel</v>
      </c>
      <c r="D443" s="135">
        <f>'.'!F419</f>
        <v>53.1512</v>
      </c>
      <c r="E443" s="136" t="s">
        <v>20</v>
      </c>
    </row>
    <row r="444">
      <c r="A444" s="106">
        <f>'.'!A420</f>
        <v>364</v>
      </c>
      <c r="B444" s="26" t="str">
        <f>'.'!C420</f>
        <v>CONSULTAR</v>
      </c>
      <c r="C444" s="27" t="str">
        <f>'.'!D420</f>
        <v>Estructura Soporte Con inclinacion monoposte-Ajustable desde 8° hasta 25°- Para Suelo -Paneles 110/144 Celdas- Posicion Vertical - Grampas finales
e intermadias regulables para perfil de panel desde 30 hasta 40 mm - Sistema de fijacion con relleno de hormigon - precio por panel</v>
      </c>
      <c r="D444" s="135">
        <f>'.'!F420</f>
        <v>84.75</v>
      </c>
      <c r="E444" s="136" t="s">
        <v>20</v>
      </c>
    </row>
    <row r="445">
      <c r="A445" s="106">
        <f>'.'!A421</f>
        <v>365</v>
      </c>
      <c r="B445" s="26" t="str">
        <f>'.'!C421</f>
        <v>CONSULTAR</v>
      </c>
      <c r="C445" s="27" t="str">
        <f>'.'!D421</f>
        <v>Estructura Soporte Con inclinacion Biposte-Configuracion 2V - Para Suelo -Paneles 110/144Celdas - Inclinacion Disponible de 10° hasta 25° -
Grampas finales e intermadias regulables para perfil de panel desde 30 hasta 40 mm - Sistema de fijacion con relleno de hormigon - precio por panel</v>
      </c>
      <c r="D445" s="135">
        <f>'.'!F421</f>
        <v>81.2244</v>
      </c>
      <c r="E445" s="136" t="s">
        <v>20</v>
      </c>
    </row>
    <row r="446">
      <c r="A446" s="129" t="s">
        <v>53</v>
      </c>
      <c r="B446" s="15"/>
      <c r="C446" s="15"/>
      <c r="D446" s="15"/>
      <c r="E446" s="65"/>
    </row>
    <row r="447">
      <c r="A447" s="130" t="str">
        <f>'.'!A423</f>
        <v>365-1</v>
      </c>
      <c r="B447" s="26" t="str">
        <f>'.'!C423</f>
        <v>INMEDIATO </v>
      </c>
      <c r="C447" s="27" t="str">
        <f>'.'!D423</f>
        <v>Estructura coplanar con perfiles de 2,13mts o 3,93mts (precio por panel) (compra minima para 30 paneles)(para paneles de hasta 630w- consultar otros tamaños)</v>
      </c>
      <c r="D447" s="124">
        <f>'.'!F423</f>
        <v>27.6</v>
      </c>
      <c r="E447" s="136" t="s">
        <v>20</v>
      </c>
    </row>
    <row r="448" ht="15.75" customHeight="1">
      <c r="A448" s="129" t="s">
        <v>54</v>
      </c>
      <c r="B448" s="15"/>
      <c r="C448" s="15"/>
      <c r="D448" s="15"/>
      <c r="E448" s="65"/>
    </row>
    <row r="449" ht="15.75" customHeight="1">
      <c r="A449" s="106">
        <f>'.'!A425</f>
        <v>366</v>
      </c>
      <c r="B449" s="26" t="str">
        <f>'.'!C425</f>
        <v>INMEDIATO</v>
      </c>
      <c r="C449" s="27" t="str">
        <f>'.'!D425</f>
        <v>Estructura coplanar para 2 paneles 30 / 35 mm, 60 m/s marca MIBET (cada kit trae 2 grampas intermedias + 4 finales)</v>
      </c>
      <c r="D449" s="137">
        <f>'.'!F425</f>
        <v>59.024</v>
      </c>
      <c r="E449" s="72" t="s">
        <v>20</v>
      </c>
    </row>
    <row r="450" ht="15.75" customHeight="1">
      <c r="A450" s="106">
        <f>'.'!A426</f>
        <v>367</v>
      </c>
      <c r="B450" s="26" t="str">
        <f>'.'!C426</f>
        <v>INMEDIATO</v>
      </c>
      <c r="C450" s="27" t="str">
        <f>'.'!D426</f>
        <v>Estructura triangular para 2 paneles 30 / 35 mm, 60 m/s marca MIBET  (cada kit trae 2 grampas intermedias + 4 finales)</v>
      </c>
      <c r="D450" s="137">
        <f>'.'!F426</f>
        <v>133.5376</v>
      </c>
      <c r="E450" s="72" t="s">
        <v>20</v>
      </c>
    </row>
    <row r="451" ht="15.75" customHeight="1">
      <c r="A451" s="106">
        <f>'.'!A427</f>
        <v>368</v>
      </c>
      <c r="B451" s="26" t="str">
        <f>'.'!C427</f>
        <v>INMEDIATO</v>
      </c>
      <c r="C451" s="27" t="str">
        <f>'.'!D427</f>
        <v>Estructura miniriel para 2 paneles 30 / 35 mm, 60 m/s marca MIBET</v>
      </c>
      <c r="D451" s="137">
        <f>'.'!F427</f>
        <v>31.2685</v>
      </c>
      <c r="E451" s="72" t="s">
        <v>20</v>
      </c>
    </row>
    <row r="452">
      <c r="A452" s="129" t="s">
        <v>55</v>
      </c>
      <c r="B452" s="15"/>
      <c r="C452" s="15"/>
      <c r="D452" s="15"/>
      <c r="E452" s="65"/>
    </row>
    <row r="453" ht="15.75" customHeight="1">
      <c r="A453" s="106">
        <f>'.'!A429</f>
        <v>369</v>
      </c>
      <c r="B453" s="26" t="str">
        <f>'.'!C429</f>
        <v>INMEDIATO. QUEDAN 3 KIT de 30mm</v>
      </c>
      <c r="C453" s="27" t="str">
        <f>'.'!D429</f>
        <v>Kit Coplanar HE 4 paneles (4.8m), 8 patas L 30 o 35 mm - -5 a 10 dias habiles para despachar</v>
      </c>
      <c r="D453" s="137">
        <f>'.'!F429</f>
        <v>85.2</v>
      </c>
      <c r="E453" s="86" t="s">
        <v>20</v>
      </c>
    </row>
    <row r="454" ht="15.75" customHeight="1">
      <c r="A454" s="106">
        <f>'.'!A430</f>
        <v>370</v>
      </c>
      <c r="B454" s="26" t="str">
        <f>'.'!C430</f>
        <v>SIN FECHA ESTIMADA</v>
      </c>
      <c r="C454" s="27" t="str">
        <f>'.'!D430</f>
        <v>Kit Coplanar HE NOVA 4 paneles (4.8m), 8 patas L - -5 a 10 dias habiles para despachar</v>
      </c>
      <c r="D454" s="137">
        <f>'.'!F430</f>
        <v>121.92</v>
      </c>
      <c r="E454" s="86" t="s">
        <v>20</v>
      </c>
    </row>
    <row r="455" ht="15.75" customHeight="1">
      <c r="A455" s="106">
        <f>'.'!A431</f>
        <v>371</v>
      </c>
      <c r="B455" s="26" t="str">
        <f>'.'!C431</f>
        <v>SIN FECHA ESTIMADA</v>
      </c>
      <c r="C455" s="27" t="str">
        <f>'.'!D431</f>
        <v>Kit Inc. 10-15° HE NOVA 4 paneles (4.8m) - -5 a 10 dias habiles para despachar</v>
      </c>
      <c r="D455" s="137">
        <f>'.'!F431</f>
        <v>151.56</v>
      </c>
      <c r="E455" s="86" t="s">
        <v>20</v>
      </c>
    </row>
    <row r="456" ht="15.75" customHeight="1">
      <c r="A456" s="106">
        <f>'.'!A432</f>
        <v>372</v>
      </c>
      <c r="B456" s="26" t="str">
        <f>'.'!C432</f>
        <v>INGRESA JULIO</v>
      </c>
      <c r="C456" s="27" t="str">
        <f>'.'!D432</f>
        <v>Kit Inc. 15-30° HE NOVA 4 paneles (4.8m)</v>
      </c>
      <c r="D456" s="137">
        <f>'.'!F432</f>
        <v>161.64</v>
      </c>
      <c r="E456" s="86" t="s">
        <v>20</v>
      </c>
    </row>
    <row r="457" ht="15.75" customHeight="1">
      <c r="A457" s="106">
        <f>'.'!A433</f>
        <v>373</v>
      </c>
      <c r="B457" s="26" t="str">
        <f>'.'!C433</f>
        <v>INGRESA JULIO</v>
      </c>
      <c r="C457" s="27" t="str">
        <f>'.'!D433</f>
        <v>Kit Inc. 30-60° HE NOVA 4 paneles (4.8m)</v>
      </c>
      <c r="D457" s="137">
        <f>'.'!F433</f>
        <v>179.76</v>
      </c>
      <c r="E457" s="86" t="s">
        <v>20</v>
      </c>
    </row>
    <row r="458" ht="15.75" customHeight="1">
      <c r="A458" s="138" t="s">
        <v>56</v>
      </c>
      <c r="B458" s="15"/>
      <c r="C458" s="15"/>
      <c r="D458" s="15"/>
      <c r="E458" s="65"/>
    </row>
    <row r="459" ht="15.75" customHeight="1">
      <c r="A459" s="106">
        <f>'.'!A435</f>
        <v>374</v>
      </c>
      <c r="B459" s="26" t="str">
        <f>'.'!C435</f>
        <v>INMEDIATO. 5 a 10 dias habiles para despachar</v>
      </c>
      <c r="C459" s="27" t="str">
        <f>'.'!D435</f>
        <v>HD-2SS1.2-56-24-120 Bomba Solar HP 120W, Pozo 2", Screw, Controlador DC </v>
      </c>
      <c r="D459" s="139">
        <f>'.'!F435</f>
        <v>228.275</v>
      </c>
      <c r="E459" s="32" t="s">
        <v>20</v>
      </c>
    </row>
    <row r="460" ht="15.75" customHeight="1">
      <c r="A460" s="106">
        <f>'.'!A436</f>
        <v>375</v>
      </c>
      <c r="B460" s="26" t="str">
        <f>'.'!C436</f>
        <v>INMEDIATO. 5 a 10 dias habiles para despachar</v>
      </c>
      <c r="C460" s="27" t="str">
        <f>'.'!D436</f>
        <v>HD-2SS1.5-77-24-210 Bomba Solar HP 210W, Pozo 2", Screw, Controlador DC </v>
      </c>
      <c r="D460" s="139">
        <f>'.'!F436</f>
        <v>228.275</v>
      </c>
      <c r="E460" s="32" t="s">
        <v>20</v>
      </c>
    </row>
    <row r="461" ht="15.75" customHeight="1">
      <c r="A461" s="106">
        <f>'.'!A437</f>
        <v>376</v>
      </c>
      <c r="B461" s="26" t="str">
        <f>'.'!C437</f>
        <v>INMEDIATO. 5 a 10 dias habiles para despachar</v>
      </c>
      <c r="C461" s="27" t="str">
        <f>'.'!D437</f>
        <v>HD-2SS1.7-100-48-500 Bomba Solar HP 500W, Pozo 2", Screw, Controlador DC </v>
      </c>
      <c r="D461" s="139">
        <f>'.'!F437</f>
        <v>258.52</v>
      </c>
      <c r="E461" s="32" t="s">
        <v>20</v>
      </c>
    </row>
    <row r="462" ht="15.75" customHeight="1">
      <c r="A462" s="106">
        <f>'.'!A438</f>
        <v>377</v>
      </c>
      <c r="B462" s="26" t="str">
        <f>'.'!C438</f>
        <v>INMEDIATO. 5 a 10 dias habiles para despachar</v>
      </c>
      <c r="C462" s="27" t="str">
        <f>'.'!D438</f>
        <v>HD-3SS1.2-56-24-120 Bomba Solar HP 120W, Pozo 3", Screw, Controlador DC </v>
      </c>
      <c r="D462" s="139">
        <f>'.'!F438</f>
        <v>254.955</v>
      </c>
      <c r="E462" s="32" t="s">
        <v>20</v>
      </c>
    </row>
    <row r="463" ht="15.75" customHeight="1">
      <c r="A463" s="106">
        <f>'.'!A439</f>
        <v>378</v>
      </c>
      <c r="B463" s="26" t="str">
        <f>'.'!C439</f>
        <v>INMEDIATO. 5 a 10 dias habiles para despachar</v>
      </c>
      <c r="C463" s="27" t="str">
        <f>'.'!D439</f>
        <v>HD-3SS1.2-77-36-210 Bomba Solar HP 210W, Pozo 3", Screw, Controlador DC </v>
      </c>
      <c r="D463" s="139">
        <f>'.'!F439</f>
        <v>256.795</v>
      </c>
      <c r="E463" s="32" t="s">
        <v>20</v>
      </c>
    </row>
    <row r="464" ht="15.75" customHeight="1">
      <c r="A464" s="106">
        <f>'.'!A440</f>
        <v>379</v>
      </c>
      <c r="B464" s="26" t="str">
        <f>'.'!C440</f>
        <v>INMEDIATO. 5 a 10 dias habiles para despachar</v>
      </c>
      <c r="C464" s="27" t="str">
        <f>'.'!D440</f>
        <v>HD-4SC7-45-72-600 Bomba Solar HP 600W, Pozo 4", Prop ABS, Controlador DC </v>
      </c>
      <c r="D464" s="139">
        <f>'.'!F440</f>
        <v>272.09</v>
      </c>
      <c r="E464" s="32" t="s">
        <v>20</v>
      </c>
    </row>
    <row r="465" ht="15.75" customHeight="1">
      <c r="A465" s="106">
        <f>'.'!A441</f>
        <v>380</v>
      </c>
      <c r="B465" s="26" t="str">
        <f>'.'!C441</f>
        <v>INMEDIATO. 5 a 10 dias habiles para despachar</v>
      </c>
      <c r="C465" s="27" t="str">
        <f>'.'!D441</f>
        <v>HD-4SC7-56-72-750 Bomba Solar HP 750W, Pozo 4", Prop ABS, Controlador DC </v>
      </c>
      <c r="D465" s="139">
        <f>'.'!F441</f>
        <v>273.7</v>
      </c>
      <c r="E465" s="32" t="s">
        <v>20</v>
      </c>
    </row>
    <row r="466" ht="15.75" customHeight="1">
      <c r="A466" s="106">
        <f>'.'!A442</f>
        <v>381</v>
      </c>
      <c r="B466" s="26" t="str">
        <f>'.'!C442</f>
        <v>INMEDIATO. 5 a 10 dias habiles para despachar</v>
      </c>
      <c r="C466" s="27" t="str">
        <f>'.'!D442</f>
        <v>HD-4SC7-86-110-1100 Bomba Solar HP 1100W, Pozo 4", Prop ABS, Controlador DC </v>
      </c>
      <c r="D466" s="139">
        <f>'.'!F442</f>
        <v>292.1</v>
      </c>
      <c r="E466" s="32" t="s">
        <v>20</v>
      </c>
    </row>
    <row r="467" ht="15.75" customHeight="1">
      <c r="A467" s="106">
        <f>'.'!A443</f>
        <v>382</v>
      </c>
      <c r="B467" s="26" t="str">
        <f>'.'!C443</f>
        <v>INMEDIATO. 5 a 10 dias habiles para despachar</v>
      </c>
      <c r="C467" s="27" t="str">
        <f>'.'!D443</f>
        <v>HD-3SSC4-35-24-300 Bomba Solar HP 300W, Pozo 3", Prop AI, Controlador DC </v>
      </c>
      <c r="D467" s="139">
        <f>'.'!F443</f>
        <v>276</v>
      </c>
      <c r="E467" s="32" t="s">
        <v>20</v>
      </c>
    </row>
    <row r="468" ht="15.75" customHeight="1">
      <c r="A468" s="106">
        <f>'.'!A444</f>
        <v>383</v>
      </c>
      <c r="B468" s="26" t="str">
        <f>'.'!C444</f>
        <v>INMEDIATO. 5 a 10 dias habiles para despachar</v>
      </c>
      <c r="C468" s="27" t="str">
        <f>'.'!D444</f>
        <v>HD-3SSC4-50-48-400 Bomba Solar HP 400W, Pozo 3", Prop AI, Controlador DC </v>
      </c>
      <c r="D468" s="139">
        <f>'.'!F444</f>
        <v>286.35</v>
      </c>
      <c r="E468" s="32" t="s">
        <v>20</v>
      </c>
    </row>
    <row r="469" ht="15.75" customHeight="1">
      <c r="A469" s="106">
        <f>'.'!A445</f>
        <v>384</v>
      </c>
      <c r="B469" s="26" t="str">
        <f>'.'!C445</f>
        <v>INMEDIATO. 5 a 10 dias habiles para despachar</v>
      </c>
      <c r="C469" s="27" t="str">
        <f>'.'!D445</f>
        <v>HD-3SSC4.5-80-48-600 Bomba Solar HP 600W, Pozo 3", Prop AI, Controlador DC </v>
      </c>
      <c r="D469" s="139">
        <f>'.'!F445</f>
        <v>292.1</v>
      </c>
      <c r="E469" s="32" t="s">
        <v>20</v>
      </c>
    </row>
    <row r="470" ht="15.75" customHeight="1">
      <c r="A470" s="106">
        <f>'.'!A446</f>
        <v>385</v>
      </c>
      <c r="B470" s="26" t="str">
        <f>'.'!C446</f>
        <v>INMEDIATO. 5 a 10 dias habiles para despachar</v>
      </c>
      <c r="C470" s="27" t="str">
        <f>'.'!D446</f>
        <v>HD-3SSC4.5-95-72-750 Bomba Solar HP 750W, Pozo 3", Prop AI, Controlador DC </v>
      </c>
      <c r="D470" s="139">
        <f>'.'!F446</f>
        <v>332.35</v>
      </c>
      <c r="E470" s="32" t="s">
        <v>20</v>
      </c>
    </row>
    <row r="471" ht="15.75" customHeight="1">
      <c r="A471" s="106">
        <f>'.'!A447</f>
        <v>386</v>
      </c>
      <c r="B471" s="26" t="str">
        <f>'.'!C447</f>
        <v>INMEDIATO. 5 a 10 dias habiles para despachar</v>
      </c>
      <c r="C471" s="27" t="str">
        <f>'.'!D447</f>
        <v>HD-4SSC6.5-45-48-500 Bomba Solar HP 500W, Pozo 4", Prop AI, Controlador DC </v>
      </c>
      <c r="D471" s="139">
        <f>'.'!F447</f>
        <v>329.82</v>
      </c>
      <c r="E471" s="32" t="s">
        <v>20</v>
      </c>
    </row>
    <row r="472" ht="15.75" customHeight="1">
      <c r="A472" s="106">
        <f>'.'!A448</f>
        <v>387</v>
      </c>
      <c r="B472" s="26" t="str">
        <f>'.'!C448</f>
        <v>INMEDIATO. 5 a 10 dias habiles para despachar</v>
      </c>
      <c r="C472" s="27" t="str">
        <f>'.'!D448</f>
        <v>HD-4SSC6.5-67-72-750 Bomba Solar HP 750W, Pozo 4", Prop AI, Controlador DC </v>
      </c>
      <c r="D472" s="139">
        <f>'.'!F448</f>
        <v>365.7</v>
      </c>
      <c r="E472" s="32" t="s">
        <v>20</v>
      </c>
    </row>
    <row r="473" ht="15.75" customHeight="1">
      <c r="A473" s="106">
        <f>'.'!A449</f>
        <v>388</v>
      </c>
      <c r="B473" s="26" t="str">
        <f>'.'!C449</f>
        <v>INMEDIATO. 5 a 10 dias habiles para despachar</v>
      </c>
      <c r="C473" s="27" t="str">
        <f>'.'!D449</f>
        <v>HD-4SSC6.5-101-110-1100 Bomba Solar HP 1100W, Pozo 4", Prop AI, Controlador DC </v>
      </c>
      <c r="D473" s="139">
        <f>'.'!F449</f>
        <v>393.3</v>
      </c>
      <c r="E473" s="32" t="s">
        <v>20</v>
      </c>
    </row>
    <row r="474" ht="15.75" customHeight="1">
      <c r="A474" s="106">
        <f>'.'!A450</f>
        <v>389</v>
      </c>
      <c r="B474" s="26" t="str">
        <f>'.'!C450</f>
        <v>INMEDIATO. 5 a 10 dias habiles para despachar</v>
      </c>
      <c r="C474" s="27" t="str">
        <f>'.'!D450</f>
        <v>HD-4SSC6-203-110-1500 Bomba Solar HP 1500W, Pozo 4", Prop AI, Controlador DC </v>
      </c>
      <c r="D474" s="139">
        <f>'.'!F450</f>
        <v>480.125</v>
      </c>
      <c r="E474" s="32" t="s">
        <v>20</v>
      </c>
    </row>
    <row r="475" ht="15.75" customHeight="1">
      <c r="A475" s="106">
        <f>'.'!A451</f>
        <v>390</v>
      </c>
      <c r="B475" s="26" t="str">
        <f>'.'!C451</f>
        <v>INMEDIATO. 5 a 10 dias habiles para despachar</v>
      </c>
      <c r="C475" s="27" t="str">
        <f>'.'!D451</f>
        <v>HD-4SSC6.5-67-72-750-AD Bomba Solar HP 750W, Pozo 4", Prop AI, Controlador AC/DC </v>
      </c>
      <c r="D475" s="139">
        <f>'.'!F451</f>
        <v>426.65</v>
      </c>
      <c r="E475" s="32" t="s">
        <v>20</v>
      </c>
    </row>
    <row r="476" ht="15.75" customHeight="1">
      <c r="A476" s="106">
        <f>'.'!A452</f>
        <v>391</v>
      </c>
      <c r="B476" s="26" t="str">
        <f>'.'!C452</f>
        <v>INMEDIATO. 5 a 10 dias habiles para despachar</v>
      </c>
      <c r="C476" s="27" t="str">
        <f>'.'!D452</f>
        <v>HD-4SSC6.5-101-110-1100-AD Bomba Solar HP 1100W, Pozo 4", Prop AI, Controlador AC/DC </v>
      </c>
      <c r="D476" s="139">
        <f>'.'!F452</f>
        <v>462.3</v>
      </c>
      <c r="E476" s="32" t="s">
        <v>20</v>
      </c>
    </row>
    <row r="477" ht="15.75" customHeight="1">
      <c r="A477" s="106">
        <f>'.'!A453</f>
        <v>392</v>
      </c>
      <c r="B477" s="26" t="str">
        <f>'.'!C453</f>
        <v>INMEDIATO. 5 a 10 dias habiles para despachar</v>
      </c>
      <c r="C477" s="27" t="str">
        <f>'.'!D453</f>
        <v>HD-4SSC6-203-180-1500-AD Bomba Solar HP 1500W, Pozo 4", Prop AI, Controlador AC/DC </v>
      </c>
      <c r="D477" s="139">
        <f>'.'!F453</f>
        <v>524.4</v>
      </c>
      <c r="E477" s="32" t="s">
        <v>20</v>
      </c>
    </row>
    <row r="478" ht="15.75" customHeight="1">
      <c r="A478" s="106">
        <f>'.'!A454</f>
        <v>393</v>
      </c>
      <c r="B478" s="26" t="str">
        <f>'.'!C454</f>
        <v>INMEDIATO. 5 a 10 dias habiles para despachar</v>
      </c>
      <c r="C478" s="27" t="str">
        <f>'.'!D454</f>
        <v>HD-4SSC9-135-280-2200-AD Bomba Solar HP 2200W, Pozo 4", Prop AI, Controlador AC/DC </v>
      </c>
      <c r="D478" s="139">
        <f>'.'!F454</f>
        <v>630.2</v>
      </c>
      <c r="E478" s="32" t="s">
        <v>20</v>
      </c>
    </row>
    <row r="479" ht="15.75" customHeight="1">
      <c r="A479" s="106">
        <f>'.'!A455</f>
        <v>394</v>
      </c>
      <c r="B479" s="26" t="str">
        <f>'.'!C455</f>
        <v>INMEDIATO. 5 a 10 dias habiles para despachar</v>
      </c>
      <c r="C479" s="27" t="str">
        <f>'.'!D455</f>
        <v>HD-4SSC18-137-300-3000 A Bomba Solar HP 3000W, Pozo 4", Prop AI, Controlador AC/DC </v>
      </c>
      <c r="D479" s="139">
        <f>'.'!F455</f>
        <v>692.3</v>
      </c>
      <c r="E479" s="32" t="s">
        <v>20</v>
      </c>
    </row>
    <row r="480" ht="15.75" customHeight="1">
      <c r="A480" s="106">
        <f>'.'!A456</f>
        <v>395</v>
      </c>
      <c r="B480" s="26" t="str">
        <f>'.'!C456</f>
        <v>INMEDIATO. 5 a 10 dias habiles para despachar</v>
      </c>
      <c r="C480" s="27" t="str">
        <f>'.'!D456</f>
        <v>HD-4SSC22-115-530-4000A Bomba Solar HP 4000W, Pozo 4", Prop AI, Controlador AC/DC </v>
      </c>
      <c r="D480" s="139">
        <f>'.'!F456</f>
        <v>731.4</v>
      </c>
      <c r="E480" s="32" t="s">
        <v>20</v>
      </c>
    </row>
    <row r="481" ht="15.75" customHeight="1">
      <c r="A481" s="138" t="s">
        <v>57</v>
      </c>
      <c r="B481" s="15"/>
      <c r="C481" s="15"/>
      <c r="D481" s="15"/>
      <c r="E481" s="65"/>
    </row>
    <row r="482" ht="15.75" customHeight="1">
      <c r="A482" s="106">
        <f>'.'!A458</f>
        <v>396</v>
      </c>
      <c r="B482" s="26" t="str">
        <f>'.'!C458</f>
        <v>INMEDIATO</v>
      </c>
      <c r="C482" s="27" t="str">
        <f>'.'!D458</f>
        <v>Bomba Solar SQF 0.6-2 Rp 1 1/4 cpl. GRUNDFOS-Diámetro 3", Rosca 1 1/4" Helicoidal. Flex: Alimentación dual (Solar ó 220V CA). 95027324</v>
      </c>
      <c r="D482" s="139">
        <f>'.'!F458</f>
        <v>1591.347</v>
      </c>
      <c r="E482" s="72" t="s">
        <v>20</v>
      </c>
    </row>
    <row r="483" ht="15.75" customHeight="1">
      <c r="A483" s="106">
        <f>'.'!A459</f>
        <v>397</v>
      </c>
      <c r="B483" s="26" t="str">
        <f>'.'!C459</f>
        <v>INMEDIATO</v>
      </c>
      <c r="C483" s="27" t="str">
        <f>'.'!D459</f>
        <v>Bomba Solar SQF 0.6-3 Rp 1 1/4 cpl. GRUNDFOS-Diámetro 3", Rosca 1 1/4" Helicoidal. Flex: Alimentación dual (Solar ó 220V CA). 95027326</v>
      </c>
      <c r="D483" s="139">
        <f>'.'!F459</f>
        <v>1591.347</v>
      </c>
      <c r="E483" s="72" t="s">
        <v>20</v>
      </c>
    </row>
    <row r="484" ht="15.75" customHeight="1">
      <c r="A484" s="106">
        <f>'.'!A460</f>
        <v>398</v>
      </c>
      <c r="B484" s="26" t="str">
        <f>'.'!C460</f>
        <v>INMEDIATO</v>
      </c>
      <c r="C484" s="27" t="str">
        <f>'.'!D460</f>
        <v>Bomba Solar SQF 1.2-2 Rp 1 1/4 cpl. GRUNDFOS-Diámetro 3", Rosca 1 1/4" Helicoidal. Flex: Alimentación dual (Solar ó 220V CA). 95027328</v>
      </c>
      <c r="D484" s="139">
        <f>'.'!F460</f>
        <v>1591.347</v>
      </c>
      <c r="E484" s="72" t="s">
        <v>20</v>
      </c>
    </row>
    <row r="485" ht="15.75" customHeight="1">
      <c r="A485" s="106">
        <f>'.'!A461</f>
        <v>399</v>
      </c>
      <c r="B485" s="26" t="str">
        <f>'.'!C461</f>
        <v>INMEDIATO</v>
      </c>
      <c r="C485" s="27" t="str">
        <f>'.'!D461</f>
        <v>Bomba Sumergible Centrifuga Grundfos SQF 1.2-3 Rp 1 1/4-Diámetro 3", Rosca 1 1/4" Helicoidal. Flex: Alimentación dual (Solar ó 220V CA). 96834838</v>
      </c>
      <c r="D485" s="139">
        <f>'.'!F461</f>
        <v>1591.347</v>
      </c>
      <c r="E485" s="72" t="s">
        <v>20</v>
      </c>
    </row>
    <row r="486" ht="15.75" customHeight="1">
      <c r="A486" s="106">
        <f>'.'!A462</f>
        <v>400</v>
      </c>
      <c r="B486" s="26" t="str">
        <f>'.'!C462</f>
        <v>INMEDIATO</v>
      </c>
      <c r="C486" s="27" t="str">
        <f>'.'!D462</f>
        <v>Bomba Sumergible Helicoidal Grundfos SQF 1-8 Rp1 1/4 - pozo 3"-Diámetro 3", Rosca 1 1/4", Centrifuga. Flex: Alimentación dual (Solar ó 220V CA). 98842452</v>
      </c>
      <c r="D486" s="139">
        <f>'.'!F462</f>
        <v>1056.8155</v>
      </c>
      <c r="E486" s="72" t="s">
        <v>20</v>
      </c>
    </row>
    <row r="487" ht="15.75" customHeight="1">
      <c r="A487" s="106">
        <f>'.'!A463</f>
        <v>401</v>
      </c>
      <c r="B487" s="26" t="str">
        <f>'.'!C463</f>
        <v>INMEDIATO</v>
      </c>
      <c r="C487" s="27" t="str">
        <f>'.'!D463</f>
        <v>Bomba Sumergible Centrifuga Grundfos SQF 2.5-2-Diámetro 3", Rosca 1 1/4", Helicoidal. Flex: Alimentación dual (Solar ó 220V CA). 95027331</v>
      </c>
      <c r="D487" s="139">
        <f>'.'!F463</f>
        <v>1742.85</v>
      </c>
      <c r="E487" s="72" t="s">
        <v>20</v>
      </c>
    </row>
    <row r="488" ht="15.75" customHeight="1">
      <c r="A488" s="106">
        <f>'.'!A464</f>
        <v>402</v>
      </c>
      <c r="B488" s="26" t="str">
        <f>'.'!C464</f>
        <v>INMEDIATO</v>
      </c>
      <c r="C488" s="27" t="str">
        <f>'.'!D464</f>
        <v>Bomba Solar SQF 3A-10 Rp 1 1/4 cpl. GRUNDFOS-Diámetro 4", Rosca 1 1/4", Centrifuga. Flex: Alimentación dual (Solar ó 220V CA). 95027336</v>
      </c>
      <c r="D488" s="139">
        <f>'.'!F464</f>
        <v>1532.8695</v>
      </c>
      <c r="E488" s="72" t="s">
        <v>20</v>
      </c>
    </row>
    <row r="489" ht="15.75" customHeight="1">
      <c r="A489" s="106">
        <f>'.'!A465</f>
        <v>403</v>
      </c>
      <c r="B489" s="26" t="str">
        <f>'.'!C465</f>
        <v>INMEDIATO</v>
      </c>
      <c r="C489" s="27" t="str">
        <f>'.'!D465</f>
        <v>Bomba Solar SQF 5A-3 Rp 1 1/2 cpl. GRUNDFOS-Diámetro 4", Rosca 1 1/2", Centrifuga. Flex: Alimentación dual (Solar ó 220V CA). 95027338</v>
      </c>
      <c r="D489" s="139">
        <f>'.'!F465</f>
        <v>1532.8695</v>
      </c>
      <c r="E489" s="72" t="s">
        <v>20</v>
      </c>
    </row>
    <row r="490" ht="15.75" customHeight="1">
      <c r="A490" s="106">
        <f>'.'!A466</f>
        <v>404</v>
      </c>
      <c r="B490" s="26" t="str">
        <f>'.'!C466</f>
        <v>INMEDIATO</v>
      </c>
      <c r="C490" s="27" t="str">
        <f>'.'!D466</f>
        <v>Bomba Sumergible Centrifuga Grundfos SQF 5A-7-Diámetro 4", Rosca 1 1/2", Centrifuga. Flex: Alimentación dual (Solar ó 220V CA). 95027342</v>
      </c>
      <c r="D490" s="139">
        <f>'.'!F466</f>
        <v>1532.8695</v>
      </c>
      <c r="E490" s="72" t="s">
        <v>20</v>
      </c>
    </row>
    <row r="491" ht="15.75" customHeight="1">
      <c r="A491" s="106">
        <f>'.'!A467</f>
        <v>405</v>
      </c>
      <c r="B491" s="26" t="str">
        <f>'.'!C467</f>
        <v>INMEDIATO</v>
      </c>
      <c r="C491" s="27" t="str">
        <f>'.'!D467</f>
        <v>Bomba Solar SQF 11A-3 Rp 2 cpl. GRUNDFOS-Diámetro 4", Rosca 2", Centrifuga. Flex: Alimentación dual (Solar ó 220V CA). 95027441</v>
      </c>
      <c r="D491" s="139">
        <f>'.'!F467</f>
        <v>1530.144</v>
      </c>
      <c r="E491" s="72" t="s">
        <v>20</v>
      </c>
    </row>
    <row r="492" ht="15.75" customHeight="1">
      <c r="A492" s="106">
        <f>'.'!A468</f>
        <v>406</v>
      </c>
      <c r="B492" s="26" t="str">
        <f>'.'!C468</f>
        <v>INMEDIATO</v>
      </c>
      <c r="C492" s="27" t="str">
        <f>'.'!D468</f>
        <v>Bomba Solar SQF 9-3 Rp2 cpl. GRUNDFOS-Diámetro 4", Rosca 2", Centrifuga.Diámetro 4". Flex: Alimentación dual (Solar ó 220V CA). 98978826</v>
      </c>
      <c r="D492" s="139">
        <f>'.'!F468</f>
        <v>1530.144</v>
      </c>
      <c r="E492" s="72" t="s">
        <v>20</v>
      </c>
    </row>
    <row r="493" ht="15.75" customHeight="1">
      <c r="A493" s="106">
        <f>'.'!A469</f>
        <v>407</v>
      </c>
      <c r="B493" s="26" t="str">
        <f>'.'!C469</f>
        <v>INMEDIATO</v>
      </c>
      <c r="C493" s="27" t="str">
        <f>'.'!D469</f>
        <v>Bomba Sumergible Centrifuga Grundfos SQF 7-4-Diámetro 4", Rosca 1 1/2", Centrífuga. Flex: Alimentación dual (Solar ó 220V CA). 98979253</v>
      </c>
      <c r="D493" s="139">
        <f>'.'!F469</f>
        <v>1530.144</v>
      </c>
      <c r="E493" s="72" t="s">
        <v>20</v>
      </c>
    </row>
    <row r="494" ht="15.75" customHeight="1">
      <c r="A494" s="106">
        <f>'.'!A470</f>
        <v>408</v>
      </c>
      <c r="B494" s="26" t="str">
        <f>'.'!C470</f>
        <v>INMEDIATO</v>
      </c>
      <c r="C494" s="27" t="str">
        <f>'.'!D470</f>
        <v>Bomba Sumergible Centrifuga Grundfos SQF 14-3-Diámetro 4", Rosca 2", Centrifuga.Diámetro 4". Flex: Alimentación dual (Solar ó 220V CA). 98979255</v>
      </c>
      <c r="D494" s="139">
        <f>'.'!F470</f>
        <v>1530.144</v>
      </c>
      <c r="E494" s="72" t="s">
        <v>20</v>
      </c>
    </row>
    <row r="495" ht="15.75" customHeight="1">
      <c r="A495" s="106">
        <f>'.'!A471</f>
        <v>409</v>
      </c>
      <c r="B495" s="26" t="str">
        <f>'.'!C471</f>
        <v>INMEDIATO</v>
      </c>
      <c r="C495" s="27" t="str">
        <f>'.'!D471</f>
        <v>SQF 5-70 Rp1 1/2" Cpl.-Diámetro 3", Rosca 1 1/2", Helicoidal. Flex: Alimentación dual (Solar ó 220V CA). 99465250</v>
      </c>
      <c r="D495" s="139">
        <f>'.'!F471</f>
        <v>1530.144</v>
      </c>
      <c r="E495" s="72" t="s">
        <v>20</v>
      </c>
    </row>
    <row r="496" ht="15.75" customHeight="1">
      <c r="A496" s="106">
        <f>'.'!A472</f>
        <v>410</v>
      </c>
      <c r="B496" s="26" t="str">
        <f>'.'!C472</f>
        <v>INMEDIATO</v>
      </c>
      <c r="C496" s="27" t="str">
        <f>'.'!D472</f>
        <v>Bomba Solar SQF 7-55 Rp1 1/2" Cpl. GRUNDFOS-Diámetro 3", Rosca 1 1/2" Helicoidal. Flex: Alimentación dual (Solar ó 220V CA). 99595409</v>
      </c>
      <c r="D496" s="139">
        <f>'.'!F472</f>
        <v>1932.736</v>
      </c>
      <c r="E496" s="72" t="s">
        <v>20</v>
      </c>
    </row>
    <row r="497" ht="15.75" customHeight="1">
      <c r="A497" s="106">
        <f>'.'!A473</f>
        <v>411</v>
      </c>
      <c r="B497" s="26" t="str">
        <f>'.'!C473</f>
        <v>INMEDIATO</v>
      </c>
      <c r="C497" s="27" t="str">
        <f>'.'!D473</f>
        <v>Bomba Solar SQF 3-105 N Rp1 1/4" Cpl. GRUNDFOS-Diámetro 3", Rosca 1 1/4", Helicoidal. Flex: Alimentación dual (Solar ó 220V CA). 99858143</v>
      </c>
      <c r="D497" s="139">
        <f>'.'!F473</f>
        <v>2002.1155</v>
      </c>
      <c r="E497" s="72" t="s">
        <v>20</v>
      </c>
    </row>
    <row r="498" ht="15.75" customHeight="1">
      <c r="A498" s="106">
        <f>'.'!A474</f>
        <v>412</v>
      </c>
      <c r="B498" s="26" t="str">
        <f>'.'!C474</f>
        <v>INMEDIATO</v>
      </c>
      <c r="C498" s="27" t="str">
        <f>'.'!D474</f>
        <v>Bomba Solar SSQF 1-155. GRUNDFOS-Diámetro 3", Rosca 1 1/4", Helicoidal. Flex: Alimentación dual (Solar ó 220V CA). 92795367</v>
      </c>
      <c r="D498" s="139">
        <f>'.'!F474</f>
        <v>2029.313</v>
      </c>
      <c r="E498" s="72" t="s">
        <v>20</v>
      </c>
    </row>
    <row r="499" ht="15.75" customHeight="1">
      <c r="A499" s="106">
        <f>'.'!A475</f>
        <v>413</v>
      </c>
      <c r="B499" s="26" t="str">
        <f>'.'!C475</f>
        <v>INMEDIATO</v>
      </c>
      <c r="C499" s="27" t="str">
        <f>'.'!D475</f>
        <v>Bomba Solar SQF 1-70 Rp 1 1/4 cpl. GRUNDFOS-Diámetro 3", Rosca 1 1/4", Helicoidal. Flex: Alimentación dual (Solar ó 220V CA). 99596857</v>
      </c>
      <c r="D499" s="139">
        <f>'.'!F475</f>
        <v>1153.381</v>
      </c>
      <c r="E499" s="72" t="s">
        <v>20</v>
      </c>
    </row>
    <row r="500" ht="15.75" customHeight="1">
      <c r="A500" s="106">
        <f>'.'!A476</f>
        <v>414</v>
      </c>
      <c r="B500" s="26" t="str">
        <f>'.'!C476</f>
        <v>INMEDIATO</v>
      </c>
      <c r="C500" s="27" t="str">
        <f>'.'!D476</f>
        <v>Empalme para Cable Bomba Grundfos 3 ó 4 conductores x 1.5-6mm2-Empalme para 3 ó 4 conductores de sección 1,5-6mm2. Compuesto de lijas de limpieza, cinta autosoldante terminales y termocontraibles siliconados para trabajo bajo agua. Original Grundfos. Debe adquirirse un empalme por bomba. La sección es la del cable plano sumergible hasta superficie.</v>
      </c>
      <c r="D500" s="139">
        <f>'.'!F476</f>
        <v>30.613</v>
      </c>
      <c r="E500" s="72" t="s">
        <v>20</v>
      </c>
    </row>
    <row r="501" ht="15.75" customHeight="1">
      <c r="A501" s="106">
        <f>'.'!A477</f>
        <v>415</v>
      </c>
      <c r="B501" s="26" t="str">
        <f>'.'!C477</f>
        <v>INMEDIATO</v>
      </c>
      <c r="C501" s="27" t="str">
        <f>'.'!D477</f>
        <v>Empalme para Cable Bomba Grundfos 3 ó 4 x 6 - 10 mm2-Empalme para 3 ó 4 conductores de sección 1,5-6-10mm2. Compuesto de lijas de limpieza, cinta autosoldante terminales y termocontraibles siliconados para trabajo bajo agua. Original Grundfos. Debe adquirirse un empalme por bomba. La sección es la del cable plano sumergible hasta superficie.</v>
      </c>
      <c r="D501" s="139">
        <f>'.'!F477</f>
        <v>115.7245</v>
      </c>
      <c r="E501" s="72" t="s">
        <v>20</v>
      </c>
    </row>
    <row r="502" ht="15.75" customHeight="1">
      <c r="A502" s="106">
        <f>'.'!A478</f>
        <v>416</v>
      </c>
      <c r="B502" s="26" t="str">
        <f>'.'!C478</f>
        <v>INMEDIATO</v>
      </c>
      <c r="C502" s="27" t="str">
        <f>'.'!D478</f>
        <v>Caja Grundfos IO50-Caja Grundfos IO50 - Para encendido/apagado manual mediante llave rotativa. 97907253</v>
      </c>
      <c r="D502" s="139">
        <f>'.'!F478</f>
        <v>152.0875</v>
      </c>
      <c r="E502" s="72" t="s">
        <v>20</v>
      </c>
    </row>
    <row r="503" ht="15.75" customHeight="1">
      <c r="A503" s="106">
        <f>'.'!A479</f>
        <v>417</v>
      </c>
      <c r="B503" s="26" t="str">
        <f>'.'!C479</f>
        <v>INMEDIATO</v>
      </c>
      <c r="C503" s="27" t="str">
        <f>'.'!D479</f>
        <v>Caja Grundfos IO 101-Caja Grundfos IO 101 - Para sistemtas con Grupo Electrogeno. 96475074</v>
      </c>
      <c r="D503" s="139">
        <f>'.'!F479</f>
        <v>931.0745</v>
      </c>
      <c r="E503" s="72" t="s">
        <v>20</v>
      </c>
    </row>
    <row r="504" ht="15.75" customHeight="1">
      <c r="A504" s="106">
        <f>'.'!A480</f>
        <v>418</v>
      </c>
      <c r="B504" s="26" t="str">
        <f>'.'!C480</f>
        <v>INMEDIATO</v>
      </c>
      <c r="C504" s="27" t="str">
        <f>'.'!D480</f>
        <v>Caja Grundfos CU200-Caja Grundfos CU200 - Para encendido/apagado e información adicional funcionamiento</v>
      </c>
      <c r="D504" s="139">
        <f>'.'!F480</f>
        <v>731.7565</v>
      </c>
      <c r="E504" s="72" t="s">
        <v>20</v>
      </c>
    </row>
    <row r="505" ht="15.75" customHeight="1">
      <c r="A505" s="106">
        <f>'.'!A481</f>
        <v>419</v>
      </c>
      <c r="B505" s="26" t="str">
        <f>'.'!C481</f>
        <v>INMEDIATO</v>
      </c>
      <c r="C505" s="27" t="str">
        <f>'.'!D481</f>
        <v>Caja de control Grundfos CU202 para SQF-Evolución de la CU200. Caja de control y monitoreo de bomba SQFlex. Informa Estado, alarmas y preformance mediante display numérico en forma local y también mediante la aplicación Grundfos Go por Bluetooth o Wifi. Entrada para flotante y puerto de comunicación Modbus. 92799796</v>
      </c>
      <c r="D505" s="139">
        <f>'.'!F481</f>
        <v>489.647</v>
      </c>
      <c r="E505" s="72" t="s">
        <v>20</v>
      </c>
    </row>
    <row r="506" ht="15.75" customHeight="1">
      <c r="A506" s="106">
        <f>'.'!A482</f>
        <v>420</v>
      </c>
      <c r="B506" s="26" t="str">
        <f>'.'!C482</f>
        <v>INMEDIATO</v>
      </c>
      <c r="C506" s="27" t="str">
        <f>'.'!D482</f>
        <v>Cable plano sumergible de 3x4mm-Cable plano sumergible de 3x4mm</v>
      </c>
      <c r="D506" s="139">
        <f>'.'!F482</f>
        <v>0.0805</v>
      </c>
      <c r="E506" s="72" t="s">
        <v>20</v>
      </c>
    </row>
    <row r="507" ht="15.75" customHeight="1">
      <c r="A507" s="106">
        <f>'.'!A483</f>
        <v>421</v>
      </c>
      <c r="B507" s="26" t="str">
        <f>'.'!C483</f>
        <v>INMEDIATO</v>
      </c>
      <c r="C507" s="27" t="str">
        <f>'.'!D483</f>
        <v>Cable plano sumergible de 3x6mm-Cable plano sumergible de 3x6mm</v>
      </c>
      <c r="D507" s="139">
        <f>'.'!F483</f>
        <v>0.0575</v>
      </c>
      <c r="E507" s="72" t="s">
        <v>20</v>
      </c>
    </row>
    <row r="508" ht="15.75" customHeight="1">
      <c r="A508" s="106">
        <f>'.'!A484</f>
        <v>422</v>
      </c>
      <c r="B508" s="26" t="str">
        <f>'.'!C484</f>
        <v>INMEDIATO</v>
      </c>
      <c r="C508" s="27" t="str">
        <f>'.'!D484</f>
        <v>Kit_puesta_a_tierra_bombeo_solar-Jabalina de cobre, Toma Cable, Tapa Inspeccion, 10mts cable Caucho, Terminal Ojal, Puntera Hueca</v>
      </c>
      <c r="D508" s="139">
        <f>'.'!F484</f>
        <v>24.9895</v>
      </c>
      <c r="E508" s="72" t="s">
        <v>20</v>
      </c>
    </row>
    <row r="509" ht="15.75" customHeight="1">
      <c r="A509" s="106">
        <f>'.'!A485</f>
        <v>423</v>
      </c>
      <c r="B509" s="26" t="str">
        <f>'.'!C485</f>
        <v>INMEDIATO</v>
      </c>
      <c r="C509" s="27" t="str">
        <f>'.'!D485</f>
        <v>Boya_y_cable_bombeo_10m_NA-Boya_y_cable_bombeo_10m_NA</v>
      </c>
      <c r="D509" s="139">
        <f>'.'!F485</f>
        <v>83.0185</v>
      </c>
      <c r="E509" s="72" t="s">
        <v>20</v>
      </c>
    </row>
    <row r="510" ht="15.75" customHeight="1">
      <c r="A510" s="106">
        <f>'.'!A486</f>
        <v>424</v>
      </c>
      <c r="B510" s="26" t="str">
        <f>'.'!C486</f>
        <v>INMEDIATO</v>
      </c>
      <c r="C510" s="27" t="str">
        <f>'.'!D486</f>
        <v>Boya_y_cable_bombeo_10m_NC_para_CU200-Boya_y_cable_bombeo_10m_NC_para_CU200</v>
      </c>
      <c r="D510" s="139">
        <f>'.'!F486</f>
        <v>80.9485</v>
      </c>
      <c r="E510" s="72" t="s">
        <v>20</v>
      </c>
    </row>
    <row r="511" ht="15.75" customHeight="1">
      <c r="A511" s="106">
        <f>'.'!A487</f>
        <v>425</v>
      </c>
      <c r="B511" s="26" t="str">
        <f>'.'!C487</f>
        <v>INMEDIATO</v>
      </c>
      <c r="C511" s="27" t="str">
        <f>'.'!D487</f>
        <v>Conectores MC4 4mm2 para Bombeo solar - sistema 1-Conectores MC 4 para Bomba. 4mm2</v>
      </c>
      <c r="D511" s="139">
        <f>'.'!F487</f>
        <v>5.658</v>
      </c>
      <c r="E511" s="72" t="s">
        <v>20</v>
      </c>
    </row>
    <row r="512" ht="15.75" customHeight="1">
      <c r="A512" s="106">
        <f>'.'!A488</f>
        <v>426</v>
      </c>
      <c r="B512" s="26" t="str">
        <f>'.'!C488</f>
        <v>INMEDIATO</v>
      </c>
      <c r="C512" s="27" t="str">
        <f>'.'!D488</f>
        <v>kit_cable_solar_bombeo_3-Kit de extensión de cable solar para Bombeo c/ controlador (2 strings paneles)</v>
      </c>
      <c r="D512" s="139">
        <f>'.'!F488</f>
        <v>41.239</v>
      </c>
      <c r="E512" s="72" t="s">
        <v>20</v>
      </c>
    </row>
    <row r="513" ht="15.75" customHeight="1">
      <c r="A513" s="140" t="s">
        <v>58</v>
      </c>
      <c r="B513" s="15"/>
      <c r="C513" s="15"/>
      <c r="D513" s="15"/>
      <c r="E513" s="65"/>
    </row>
    <row r="514" ht="15.75" customHeight="1">
      <c r="A514" s="106">
        <f>'.'!A490</f>
        <v>427</v>
      </c>
      <c r="B514" s="26" t="str">
        <f>'.'!C490</f>
        <v>INMEDIATO</v>
      </c>
      <c r="C514" s="27" t="str">
        <f>'.'!D490</f>
        <v>Cargador vehículos eléctricos ABB Terra AC Wallbox 7kW monofásico c/ Toma Tipo 2</v>
      </c>
      <c r="D514" s="141">
        <f>'.'!F490</f>
        <v>1415.7</v>
      </c>
      <c r="E514" s="142"/>
    </row>
    <row r="515" ht="15.75" customHeight="1">
      <c r="A515" s="106">
        <f>'.'!A491</f>
        <v>428</v>
      </c>
      <c r="B515" s="26" t="str">
        <f>'.'!C491</f>
        <v>INMEDIATO</v>
      </c>
      <c r="C515" s="27" t="str">
        <f>'.'!D491</f>
        <v>Cargador vehículos eléctricos THOR 07AS-S 7kW monofásico c/ Toma Tipo 2</v>
      </c>
      <c r="D515" s="141">
        <f>'.'!F491</f>
        <v>965.25</v>
      </c>
      <c r="E515" s="142"/>
    </row>
    <row r="516" ht="15.75" customHeight="1">
      <c r="A516" s="106">
        <f>'.'!A492</f>
        <v>429</v>
      </c>
      <c r="B516" s="26" t="str">
        <f>'.'!C492</f>
        <v>INMEDIATO</v>
      </c>
      <c r="C516" s="27" t="str">
        <f>'.'!D492</f>
        <v>EV Charging station NS - Blue .  Victron</v>
      </c>
      <c r="D516" s="141">
        <f>'.'!F492</f>
        <v>909.09</v>
      </c>
      <c r="E516" s="142"/>
    </row>
    <row r="517" ht="15.75" customHeight="1">
      <c r="A517" s="106">
        <f>'.'!A493</f>
        <v>430</v>
      </c>
      <c r="B517" s="26" t="str">
        <f>'.'!C493</f>
        <v>INMEDIATO</v>
      </c>
      <c r="C517" s="27" t="str">
        <f>'.'!D493</f>
        <v>Type 2 EV Charging cable 3m, 22kW para victron</v>
      </c>
      <c r="D517" s="141">
        <f>'.'!F493</f>
        <v>409.5</v>
      </c>
      <c r="E517" s="142"/>
    </row>
    <row r="518" ht="15.75" customHeight="1">
      <c r="A518" s="106">
        <f>'.'!A494</f>
        <v>431</v>
      </c>
      <c r="B518" s="26" t="str">
        <f>'.'!C494</f>
        <v>INMEDIATO</v>
      </c>
      <c r="C518" s="27" t="str">
        <f>'.'!D494</f>
        <v>Smart Cargador Auto 7kW Mono 22kW Tri DEYE (SUN-EVSE22K01-EU-AC)</v>
      </c>
      <c r="D518" s="139">
        <v>700.0</v>
      </c>
      <c r="E518" s="134" t="s">
        <v>20</v>
      </c>
    </row>
    <row r="519">
      <c r="A519" s="106">
        <f>'.'!A495</f>
        <v>432</v>
      </c>
      <c r="B519" s="26" t="str">
        <f>'.'!C495</f>
        <v>A PEDIDO</v>
      </c>
      <c r="C519" s="27" t="str">
        <f>'.'!D495</f>
        <v>Cab IP54 Cargador VE Ultra RapidoDoble DEYE(MS-DCC180-2)</v>
      </c>
      <c r="D519" s="103">
        <f>'.'!F495</f>
        <v>16800</v>
      </c>
      <c r="E519" s="96" t="s">
        <v>20</v>
      </c>
      <c r="F519" s="41"/>
      <c r="G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</row>
    <row r="520" ht="15.75" customHeight="1">
      <c r="A520" s="143" t="s">
        <v>59</v>
      </c>
      <c r="B520" s="15"/>
      <c r="C520" s="15"/>
      <c r="D520" s="15"/>
      <c r="E520" s="65"/>
    </row>
    <row r="521" ht="15.75" customHeight="1">
      <c r="A521" s="106">
        <f>'.'!A497</f>
        <v>433</v>
      </c>
      <c r="B521" s="26" t="str">
        <f>'.'!C497</f>
        <v>SIN FECHA ESTIMADA</v>
      </c>
      <c r="C521" s="27" t="str">
        <f>'.'!D497</f>
        <v>Estación de Energía Voltdeer (Pylontech), 1200W, 1008Wh</v>
      </c>
      <c r="D521" s="139">
        <f>'.'!F497</f>
        <v>608.4</v>
      </c>
      <c r="E521" s="144"/>
    </row>
    <row r="522" ht="15.75" customHeight="1">
      <c r="A522" s="106">
        <f>'.'!A498</f>
        <v>434</v>
      </c>
      <c r="B522" s="26" t="str">
        <f>'.'!C498</f>
        <v>SIN FECHA ESTIMADA</v>
      </c>
      <c r="C522" s="27" t="str">
        <f>'.'!D498</f>
        <v>Estación de Energía Voltdeer (Pylontech), 2200W, 2026Wh</v>
      </c>
      <c r="D522" s="139">
        <f>'.'!F498</f>
        <v>1129.7</v>
      </c>
      <c r="E522" s="145" t="s">
        <v>20</v>
      </c>
    </row>
    <row r="523" ht="15.75" customHeight="1">
      <c r="A523" s="106">
        <f>'.'!A499</f>
        <v>435</v>
      </c>
      <c r="B523" s="26" t="str">
        <f>'.'!C499</f>
        <v>INMEDIATO</v>
      </c>
      <c r="C523" s="27" t="str">
        <f>'.'!D499</f>
        <v>Inversor y Bateria transportable 300W / 230Wh LFP BLUETTI (AC2P)</v>
      </c>
      <c r="D523" s="141">
        <f>'.'!F499</f>
        <v>260</v>
      </c>
      <c r="E523" s="142"/>
    </row>
    <row r="524" ht="15.75" customHeight="1">
      <c r="A524" s="106">
        <f>'.'!A500</f>
        <v>436</v>
      </c>
      <c r="B524" s="26" t="str">
        <f>'.'!C500</f>
        <v>INMEDIATO</v>
      </c>
      <c r="C524" s="27" t="str">
        <f>'.'!D500</f>
        <v>Inversor y Bateria transportable 700W /504Wh LFP BLUETTI (AC50P)</v>
      </c>
      <c r="D524" s="141">
        <f>'.'!F500</f>
        <v>465</v>
      </c>
      <c r="E524" s="142"/>
    </row>
    <row r="525" ht="15.75" customHeight="1">
      <c r="A525" s="106">
        <f>'.'!A501</f>
        <v>437</v>
      </c>
      <c r="B525" s="26" t="str">
        <f>'.'!C501</f>
        <v>INMEDIATO</v>
      </c>
      <c r="C525" s="27" t="str">
        <f>'.'!D501</f>
        <v>Inversor y Bateria transportable 1800W /1440Wh LFP BLUETTI (AC180P)</v>
      </c>
      <c r="D525" s="141">
        <f>'.'!F501</f>
        <v>1040</v>
      </c>
      <c r="E525" s="142"/>
    </row>
    <row r="526" ht="15.75" customHeight="1">
      <c r="A526" s="106">
        <f>'.'!A502</f>
        <v>438</v>
      </c>
      <c r="B526" s="26" t="str">
        <f>'.'!C502</f>
        <v>INMEDIATO</v>
      </c>
      <c r="C526" s="27" t="str">
        <f>'.'!D502</f>
        <v>Inversor y Bateria transportable 2400W /  2304Wh BLUETTI (AC200PL)</v>
      </c>
      <c r="D526" s="141">
        <f>'.'!F502</f>
        <v>1725</v>
      </c>
      <c r="E526" s="146" t="s">
        <v>20</v>
      </c>
    </row>
    <row r="527" ht="15.75" customHeight="1">
      <c r="A527" s="106">
        <f>'.'!A503</f>
        <v>439</v>
      </c>
      <c r="B527" s="26" t="str">
        <f>'.'!C503</f>
        <v>INMEDIATO</v>
      </c>
      <c r="C527" s="27" t="str">
        <f>'.'!D503</f>
        <v>Inversor y Bateria transportable 3840W / 2765Wh LFP BLUETTI (APEX300)</v>
      </c>
      <c r="D527" s="141">
        <f>'.'!F503</f>
        <v>2300</v>
      </c>
      <c r="E527" s="146" t="s">
        <v>20</v>
      </c>
    </row>
    <row r="528" ht="15.75" customHeight="1">
      <c r="A528" s="106">
        <f>'.'!A504</f>
        <v>440</v>
      </c>
      <c r="B528" s="26" t="str">
        <f>'.'!C504</f>
        <v>INMEDIATO</v>
      </c>
      <c r="C528" s="27" t="str">
        <f>'.'!D504</f>
        <v>Pack Bateria Litio LFP 2765Wh p/ APEX300 y AC200PL BLUETTI (B300K)</v>
      </c>
      <c r="D528" s="141">
        <f>'.'!F504</f>
        <v>1400</v>
      </c>
      <c r="E528" s="142"/>
    </row>
    <row r="529" ht="15.75" customHeight="1">
      <c r="A529" s="106">
        <f>'.'!A505</f>
        <v>441</v>
      </c>
      <c r="B529" s="26" t="str">
        <f>'.'!C505</f>
        <v>INMEDIATO</v>
      </c>
      <c r="C529" s="27" t="str">
        <f>'.'!D505</f>
        <v>Inversor y Bateria transportable 1200W / 960Wh LFP NEGRO GENKI (GK-1200W) </v>
      </c>
      <c r="D529" s="141">
        <f>'.'!F505</f>
        <v>950</v>
      </c>
      <c r="E529" s="146" t="s">
        <v>20</v>
      </c>
    </row>
    <row r="530" ht="15.75" customHeight="1">
      <c r="A530" s="106">
        <f>'.'!A506</f>
        <v>442</v>
      </c>
      <c r="B530" s="26" t="str">
        <f>'.'!C506</f>
        <v>INMEDIATO</v>
      </c>
      <c r="C530" s="27" t="str">
        <f>'.'!D506</f>
        <v>Inversor y Bateria transportable 2000W / 1997Wh LFP NEGRO GENKI (GK-2000W)</v>
      </c>
      <c r="D530" s="141">
        <f>'.'!F506</f>
        <v>1550</v>
      </c>
      <c r="E530" s="146" t="s">
        <v>20</v>
      </c>
    </row>
    <row r="531" ht="15.75" customHeight="1">
      <c r="A531" s="106">
        <f>'.'!A507</f>
        <v>443</v>
      </c>
      <c r="B531" s="26" t="str">
        <f>'.'!C507</f>
        <v>SIN FECHA ESTIMADA</v>
      </c>
      <c r="C531" s="27" t="str">
        <f>'.'!D507</f>
        <v>Inversor y Bateria transportable 3600W / 3840Wh NEGRO GENKI (GK-3600W)</v>
      </c>
      <c r="D531" s="141">
        <f>'.'!F507</f>
        <v>2600</v>
      </c>
      <c r="E531" s="147"/>
    </row>
    <row r="532" ht="15.75" customHeight="1">
      <c r="A532" s="106">
        <f>'.'!A508</f>
        <v>444</v>
      </c>
      <c r="B532" s="26" t="str">
        <f>'.'!C508</f>
        <v>INGRESA MARZO</v>
      </c>
      <c r="C532" s="27" t="str">
        <f>'.'!D508</f>
        <v>Panel Solar Plegable Mono 200Wp GENKI (GKS2-200Wp)</v>
      </c>
      <c r="D532" s="141">
        <f>'.'!F508</f>
        <v>231.3</v>
      </c>
      <c r="E532" s="146" t="s">
        <v>20</v>
      </c>
    </row>
    <row r="533" ht="15.75" hidden="1" customHeight="1">
      <c r="A533" s="148" t="s">
        <v>60</v>
      </c>
      <c r="B533" s="15"/>
      <c r="C533" s="15"/>
      <c r="D533" s="15"/>
      <c r="E533" s="65"/>
    </row>
    <row r="534" ht="15.75" hidden="1" customHeight="1">
      <c r="A534" s="106">
        <f>'.'!A510</f>
        <v>445</v>
      </c>
      <c r="B534" s="26" t="str">
        <f>'.'!C510</f>
        <v>INMEDIATO</v>
      </c>
      <c r="C534" s="27" t="str">
        <f>'.'!D510</f>
        <v>Heladera 12/24v 98 litros c/freezer</v>
      </c>
      <c r="D534" s="141" t="s">
        <v>61</v>
      </c>
      <c r="E534" s="149" t="s">
        <v>20</v>
      </c>
    </row>
    <row r="535" ht="15.75" hidden="1" customHeight="1">
      <c r="A535" s="106">
        <f>'.'!A511</f>
        <v>446</v>
      </c>
      <c r="B535" s="26" t="str">
        <f>'.'!C511</f>
        <v>INMEDIATO</v>
      </c>
      <c r="C535" s="27" t="str">
        <f>'.'!D511</f>
        <v>Heladera 12/24v 108 litros c/freezer</v>
      </c>
      <c r="D535" s="141" t="s">
        <v>62</v>
      </c>
      <c r="E535" s="149" t="s">
        <v>20</v>
      </c>
    </row>
    <row r="536" ht="15.75" hidden="1" customHeight="1">
      <c r="A536" s="106">
        <f>'.'!A512</f>
        <v>447</v>
      </c>
      <c r="B536" s="26" t="str">
        <f>'.'!C512</f>
        <v>INMEDIATO</v>
      </c>
      <c r="C536" s="27" t="str">
        <f>'.'!D512</f>
        <v>Heladera 12/24v 218 litros c/freezer</v>
      </c>
      <c r="D536" s="141" t="s">
        <v>63</v>
      </c>
      <c r="E536" s="149" t="s">
        <v>20</v>
      </c>
    </row>
    <row r="537" ht="15.75" hidden="1" customHeight="1">
      <c r="A537" s="106">
        <f>'.'!A513</f>
        <v>448</v>
      </c>
      <c r="B537" s="26" t="str">
        <f>'.'!C513</f>
        <v>INMEDIATO</v>
      </c>
      <c r="C537" s="27" t="str">
        <f>'.'!D513</f>
        <v>Heladera 12/24v 298 litros c/freezer</v>
      </c>
      <c r="D537" s="141" t="s">
        <v>64</v>
      </c>
      <c r="E537" s="149" t="s">
        <v>20</v>
      </c>
    </row>
    <row r="538" ht="15.75" customHeight="1">
      <c r="A538" s="150"/>
      <c r="B538" s="151"/>
      <c r="C538" s="24"/>
      <c r="D538" s="24"/>
      <c r="E538" s="13"/>
    </row>
    <row r="539" ht="15.75" customHeight="1">
      <c r="B539" s="152"/>
      <c r="E539" s="18"/>
    </row>
    <row r="540" ht="15.75" customHeight="1">
      <c r="B540" s="153"/>
      <c r="E540" s="18"/>
    </row>
    <row r="541" ht="15.75" customHeight="1">
      <c r="B541" s="154"/>
      <c r="E541" s="18"/>
    </row>
    <row r="542" ht="15.75" customHeight="1">
      <c r="B542" s="155"/>
      <c r="C542" s="156"/>
      <c r="D542" s="156"/>
      <c r="E542" s="157"/>
    </row>
    <row r="543" ht="15.75" customHeight="1">
      <c r="A543" s="158"/>
      <c r="B543" s="159"/>
      <c r="C543" s="160"/>
      <c r="D543" s="161"/>
      <c r="E543" s="162"/>
    </row>
    <row r="544" ht="15.75" customHeight="1">
      <c r="A544" s="158"/>
      <c r="B544" s="159"/>
      <c r="C544" s="160"/>
      <c r="D544" s="161"/>
      <c r="E544" s="162"/>
    </row>
    <row r="545" ht="15.75" customHeight="1">
      <c r="A545" s="158"/>
      <c r="B545" s="159"/>
      <c r="C545" s="160"/>
      <c r="D545" s="161"/>
      <c r="E545" s="162"/>
    </row>
    <row r="546">
      <c r="A546" s="158"/>
      <c r="B546" s="159"/>
      <c r="C546" s="163" t="s">
        <v>65</v>
      </c>
      <c r="D546" s="161"/>
      <c r="E546" s="162"/>
    </row>
    <row r="547">
      <c r="A547" s="158"/>
      <c r="B547" s="159"/>
      <c r="C547" s="160"/>
      <c r="D547" s="161"/>
      <c r="E547" s="162"/>
    </row>
    <row r="548">
      <c r="A548" s="158"/>
      <c r="B548" s="159"/>
      <c r="C548" s="160"/>
      <c r="D548" s="161"/>
      <c r="E548" s="162"/>
    </row>
    <row r="549">
      <c r="A549" s="158"/>
      <c r="B549" s="159"/>
      <c r="C549" s="160"/>
      <c r="D549" s="161"/>
      <c r="E549" s="162"/>
    </row>
    <row r="550">
      <c r="A550" s="164"/>
      <c r="B550" s="165"/>
      <c r="C550" s="160"/>
      <c r="D550" s="166"/>
      <c r="E550" s="162"/>
    </row>
    <row r="551">
      <c r="A551" s="158"/>
      <c r="B551" s="159"/>
      <c r="C551" s="160"/>
      <c r="D551" s="161"/>
      <c r="E551" s="162"/>
    </row>
    <row r="552">
      <c r="A552" s="158"/>
      <c r="B552" s="159"/>
      <c r="C552" s="160"/>
      <c r="D552" s="161"/>
      <c r="E552" s="162"/>
    </row>
    <row r="553">
      <c r="A553" s="158"/>
      <c r="B553" s="159"/>
      <c r="C553" s="160"/>
      <c r="D553" s="161"/>
      <c r="E553" s="162"/>
    </row>
    <row r="554">
      <c r="A554" s="158"/>
      <c r="B554" s="159"/>
      <c r="C554" s="160"/>
      <c r="D554" s="161"/>
      <c r="E554" s="162"/>
    </row>
    <row r="555">
      <c r="A555" s="164"/>
      <c r="B555" s="165"/>
      <c r="C555" s="160"/>
      <c r="D555" s="166"/>
      <c r="E555" s="162"/>
    </row>
    <row r="556">
      <c r="A556" s="164"/>
      <c r="B556" s="165"/>
      <c r="C556" s="160"/>
      <c r="D556" s="166"/>
      <c r="E556" s="162"/>
    </row>
    <row r="557">
      <c r="A557" s="164"/>
      <c r="B557" s="165"/>
      <c r="C557" s="160"/>
      <c r="D557" s="166"/>
      <c r="E557" s="162"/>
    </row>
    <row r="558">
      <c r="A558" s="164"/>
      <c r="B558" s="165"/>
      <c r="C558" s="160"/>
      <c r="D558" s="166"/>
      <c r="E558" s="162"/>
    </row>
    <row r="559">
      <c r="A559" s="164"/>
      <c r="B559" s="165"/>
      <c r="C559" s="160"/>
      <c r="D559" s="166"/>
      <c r="E559" s="162"/>
    </row>
    <row r="560">
      <c r="A560" s="164"/>
      <c r="B560" s="165"/>
      <c r="C560" s="160"/>
      <c r="D560" s="166"/>
      <c r="E560" s="162"/>
    </row>
    <row r="561">
      <c r="A561" s="164"/>
      <c r="B561" s="165"/>
      <c r="C561" s="160"/>
      <c r="D561" s="166"/>
      <c r="E561" s="162"/>
    </row>
    <row r="562">
      <c r="A562" s="164"/>
      <c r="B562" s="165"/>
      <c r="C562" s="160"/>
      <c r="D562" s="166"/>
      <c r="E562" s="162"/>
    </row>
    <row r="563">
      <c r="A563" s="164"/>
      <c r="B563" s="165"/>
      <c r="C563" s="160"/>
      <c r="D563" s="166"/>
      <c r="E563" s="162"/>
    </row>
    <row r="564">
      <c r="A564" s="164"/>
      <c r="B564" s="165"/>
      <c r="C564" s="160"/>
      <c r="D564" s="166"/>
      <c r="E564" s="162"/>
    </row>
    <row r="565">
      <c r="A565" s="164"/>
      <c r="B565" s="165"/>
      <c r="C565" s="160"/>
      <c r="D565" s="166"/>
      <c r="E565" s="162"/>
    </row>
    <row r="566">
      <c r="A566" s="164"/>
      <c r="B566" s="165"/>
      <c r="C566" s="160"/>
      <c r="D566" s="166"/>
      <c r="E566" s="162"/>
    </row>
    <row r="567">
      <c r="A567" s="164"/>
      <c r="B567" s="165"/>
      <c r="C567" s="160"/>
      <c r="D567" s="166"/>
      <c r="E567" s="162"/>
    </row>
    <row r="568">
      <c r="A568" s="164"/>
      <c r="B568" s="165"/>
      <c r="C568" s="160"/>
      <c r="D568" s="166"/>
      <c r="E568" s="162"/>
    </row>
    <row r="569">
      <c r="A569" s="164"/>
      <c r="B569" s="165"/>
      <c r="C569" s="160"/>
      <c r="D569" s="166"/>
      <c r="E569" s="162"/>
    </row>
    <row r="570">
      <c r="A570" s="164"/>
      <c r="B570" s="165"/>
      <c r="C570" s="160"/>
      <c r="D570" s="166"/>
      <c r="E570" s="162"/>
    </row>
    <row r="571">
      <c r="A571" s="164"/>
      <c r="B571" s="165"/>
      <c r="C571" s="160"/>
      <c r="D571" s="166"/>
      <c r="E571" s="162"/>
    </row>
    <row r="572">
      <c r="A572" s="164"/>
      <c r="B572" s="165"/>
      <c r="C572" s="160"/>
      <c r="D572" s="166"/>
      <c r="E572" s="162"/>
    </row>
    <row r="573">
      <c r="A573" s="164"/>
      <c r="B573" s="165"/>
      <c r="C573" s="160"/>
      <c r="D573" s="166"/>
      <c r="E573" s="162"/>
    </row>
    <row r="574">
      <c r="A574" s="164"/>
      <c r="B574" s="165"/>
      <c r="C574" s="160"/>
      <c r="D574" s="166"/>
      <c r="E574" s="162"/>
    </row>
    <row r="575">
      <c r="A575" s="164"/>
      <c r="B575" s="165"/>
      <c r="C575" s="160"/>
      <c r="D575" s="166"/>
      <c r="E575" s="162"/>
    </row>
    <row r="576">
      <c r="A576" s="164"/>
      <c r="B576" s="165"/>
      <c r="C576" s="160"/>
      <c r="D576" s="166"/>
      <c r="E576" s="162"/>
    </row>
    <row r="577">
      <c r="A577" s="164"/>
      <c r="B577" s="165"/>
      <c r="C577" s="160"/>
      <c r="D577" s="166"/>
      <c r="E577" s="162"/>
    </row>
    <row r="578">
      <c r="A578" s="164"/>
      <c r="B578" s="165"/>
      <c r="C578" s="160"/>
      <c r="D578" s="166"/>
      <c r="E578" s="162"/>
    </row>
    <row r="579">
      <c r="A579" s="164"/>
      <c r="B579" s="165"/>
      <c r="C579" s="160"/>
      <c r="D579" s="166"/>
      <c r="E579" s="162"/>
    </row>
    <row r="580">
      <c r="A580" s="164"/>
      <c r="B580" s="165"/>
      <c r="C580" s="160"/>
      <c r="D580" s="166"/>
      <c r="E580" s="162"/>
    </row>
    <row r="581">
      <c r="A581" s="164"/>
      <c r="B581" s="165"/>
      <c r="C581" s="160"/>
      <c r="D581" s="166"/>
      <c r="E581" s="162"/>
    </row>
    <row r="582">
      <c r="A582" s="164"/>
      <c r="B582" s="165"/>
      <c r="C582" s="160"/>
      <c r="D582" s="166"/>
      <c r="E582" s="162"/>
    </row>
    <row r="583">
      <c r="A583" s="164"/>
      <c r="B583" s="165"/>
      <c r="C583" s="160"/>
      <c r="D583" s="166"/>
      <c r="E583" s="162"/>
    </row>
    <row r="584">
      <c r="A584" s="164"/>
      <c r="B584" s="165"/>
      <c r="C584" s="160"/>
      <c r="D584" s="166"/>
      <c r="E584" s="162"/>
    </row>
    <row r="585">
      <c r="A585" s="164"/>
      <c r="B585" s="165"/>
      <c r="C585" s="160"/>
      <c r="D585" s="166"/>
      <c r="E585" s="162"/>
    </row>
    <row r="586">
      <c r="A586" s="164"/>
      <c r="B586" s="165"/>
      <c r="C586" s="160"/>
      <c r="D586" s="166"/>
      <c r="E586" s="162"/>
    </row>
    <row r="587">
      <c r="A587" s="164"/>
      <c r="B587" s="165"/>
      <c r="C587" s="160"/>
      <c r="D587" s="166"/>
      <c r="E587" s="162"/>
    </row>
    <row r="588">
      <c r="A588" s="164"/>
      <c r="B588" s="165"/>
      <c r="C588" s="160"/>
      <c r="D588" s="166"/>
      <c r="E588" s="162"/>
    </row>
    <row r="589">
      <c r="A589" s="164"/>
      <c r="B589" s="165"/>
      <c r="C589" s="160"/>
      <c r="D589" s="166"/>
      <c r="E589" s="162"/>
    </row>
    <row r="590">
      <c r="A590" s="164"/>
      <c r="B590" s="165"/>
      <c r="C590" s="160"/>
      <c r="D590" s="166"/>
      <c r="E590" s="162"/>
    </row>
    <row r="591">
      <c r="A591" s="164"/>
      <c r="B591" s="165"/>
      <c r="C591" s="160"/>
      <c r="D591" s="166"/>
      <c r="E591" s="162"/>
    </row>
    <row r="592">
      <c r="A592" s="164"/>
      <c r="B592" s="165"/>
      <c r="C592" s="160"/>
      <c r="D592" s="166"/>
      <c r="E592" s="162"/>
    </row>
    <row r="593">
      <c r="A593" s="164"/>
      <c r="B593" s="165"/>
      <c r="C593" s="160"/>
      <c r="D593" s="166"/>
      <c r="E593" s="162"/>
    </row>
    <row r="594">
      <c r="A594" s="164"/>
      <c r="B594" s="165"/>
      <c r="C594" s="160"/>
      <c r="D594" s="166"/>
      <c r="E594" s="162"/>
    </row>
    <row r="595">
      <c r="A595" s="164"/>
      <c r="B595" s="165"/>
      <c r="C595" s="160"/>
      <c r="D595" s="166"/>
      <c r="E595" s="162"/>
    </row>
    <row r="596">
      <c r="A596" s="164"/>
      <c r="B596" s="165"/>
      <c r="C596" s="160"/>
      <c r="D596" s="166"/>
      <c r="E596" s="162"/>
    </row>
    <row r="597">
      <c r="A597" s="164"/>
      <c r="B597" s="165"/>
      <c r="C597" s="160"/>
      <c r="D597" s="166"/>
      <c r="E597" s="162"/>
    </row>
    <row r="598">
      <c r="A598" s="164"/>
      <c r="B598" s="165"/>
      <c r="C598" s="160"/>
      <c r="D598" s="166"/>
      <c r="E598" s="162"/>
    </row>
    <row r="599">
      <c r="A599" s="164"/>
      <c r="B599" s="165"/>
      <c r="C599" s="160"/>
      <c r="D599" s="166"/>
      <c r="E599" s="162"/>
    </row>
    <row r="600">
      <c r="A600" s="164"/>
      <c r="B600" s="165"/>
      <c r="C600" s="160"/>
      <c r="D600" s="166"/>
      <c r="E600" s="162"/>
    </row>
    <row r="601">
      <c r="A601" s="164"/>
      <c r="B601" s="165"/>
      <c r="C601" s="160"/>
      <c r="D601" s="166"/>
      <c r="E601" s="162"/>
    </row>
    <row r="602">
      <c r="A602" s="164"/>
      <c r="B602" s="165"/>
      <c r="C602" s="160"/>
      <c r="D602" s="166"/>
      <c r="E602" s="162"/>
    </row>
    <row r="603">
      <c r="A603" s="164"/>
      <c r="B603" s="165"/>
      <c r="C603" s="160"/>
      <c r="D603" s="166"/>
      <c r="E603" s="162"/>
    </row>
    <row r="604">
      <c r="A604" s="164"/>
      <c r="B604" s="165"/>
      <c r="C604" s="160"/>
      <c r="D604" s="166"/>
      <c r="E604" s="162"/>
    </row>
    <row r="605">
      <c r="A605" s="164"/>
      <c r="B605" s="165"/>
      <c r="C605" s="160"/>
      <c r="D605" s="166"/>
      <c r="E605" s="162"/>
    </row>
    <row r="606">
      <c r="A606" s="164"/>
      <c r="B606" s="165"/>
      <c r="C606" s="160"/>
      <c r="D606" s="166"/>
      <c r="E606" s="162"/>
    </row>
    <row r="607">
      <c r="A607" s="164"/>
      <c r="B607" s="165"/>
      <c r="C607" s="160"/>
      <c r="D607" s="166"/>
      <c r="E607" s="162"/>
    </row>
    <row r="608">
      <c r="A608" s="164"/>
      <c r="B608" s="165"/>
      <c r="C608" s="160"/>
      <c r="D608" s="166"/>
      <c r="E608" s="162"/>
    </row>
    <row r="609">
      <c r="A609" s="164"/>
      <c r="B609" s="165"/>
      <c r="C609" s="160"/>
      <c r="D609" s="166"/>
      <c r="E609" s="162"/>
    </row>
    <row r="610">
      <c r="A610" s="164"/>
      <c r="B610" s="165"/>
      <c r="C610" s="160"/>
      <c r="D610" s="166"/>
      <c r="E610" s="162"/>
    </row>
    <row r="611">
      <c r="A611" s="164"/>
      <c r="B611" s="165"/>
      <c r="C611" s="160"/>
      <c r="D611" s="166"/>
      <c r="E611" s="162"/>
    </row>
    <row r="612">
      <c r="A612" s="164"/>
      <c r="B612" s="165"/>
      <c r="C612" s="160"/>
      <c r="D612" s="166"/>
      <c r="E612" s="162"/>
    </row>
    <row r="613">
      <c r="A613" s="164"/>
      <c r="B613" s="165"/>
      <c r="C613" s="160"/>
      <c r="D613" s="166"/>
      <c r="E613" s="162"/>
    </row>
    <row r="614">
      <c r="A614" s="164"/>
      <c r="B614" s="165"/>
      <c r="C614" s="160"/>
      <c r="D614" s="166"/>
      <c r="E614" s="162"/>
    </row>
    <row r="615">
      <c r="A615" s="164"/>
      <c r="B615" s="165"/>
      <c r="C615" s="160"/>
      <c r="D615" s="166"/>
      <c r="E615" s="162"/>
    </row>
    <row r="616">
      <c r="A616" s="164"/>
      <c r="B616" s="165"/>
      <c r="C616" s="160"/>
      <c r="D616" s="166"/>
      <c r="E616" s="162"/>
    </row>
    <row r="617">
      <c r="A617" s="164"/>
      <c r="B617" s="165"/>
      <c r="C617" s="160"/>
      <c r="D617" s="166"/>
      <c r="E617" s="162"/>
    </row>
    <row r="618">
      <c r="A618" s="164"/>
      <c r="B618" s="165"/>
      <c r="C618" s="160"/>
      <c r="D618" s="166"/>
      <c r="E618" s="162"/>
    </row>
    <row r="619">
      <c r="A619" s="164"/>
      <c r="B619" s="165"/>
      <c r="C619" s="160"/>
      <c r="D619" s="166"/>
      <c r="E619" s="162"/>
    </row>
    <row r="620">
      <c r="A620" s="164"/>
      <c r="B620" s="165"/>
      <c r="C620" s="160"/>
      <c r="D620" s="166"/>
      <c r="E620" s="162"/>
    </row>
    <row r="621">
      <c r="A621" s="164"/>
      <c r="B621" s="165"/>
      <c r="C621" s="160"/>
      <c r="D621" s="166"/>
      <c r="E621" s="162"/>
    </row>
    <row r="622">
      <c r="A622" s="164"/>
      <c r="B622" s="165"/>
      <c r="C622" s="160"/>
      <c r="D622" s="166"/>
      <c r="E622" s="162"/>
    </row>
    <row r="623">
      <c r="A623" s="164"/>
      <c r="B623" s="165"/>
      <c r="C623" s="160"/>
      <c r="D623" s="166"/>
      <c r="E623" s="162"/>
    </row>
    <row r="624">
      <c r="A624" s="164"/>
      <c r="B624" s="165"/>
      <c r="C624" s="160"/>
      <c r="D624" s="166"/>
      <c r="E624" s="162"/>
    </row>
    <row r="625">
      <c r="A625" s="164"/>
      <c r="B625" s="165"/>
      <c r="C625" s="160"/>
      <c r="D625" s="166"/>
      <c r="E625" s="162"/>
    </row>
    <row r="626">
      <c r="A626" s="164"/>
      <c r="B626" s="165"/>
      <c r="C626" s="160"/>
      <c r="D626" s="166"/>
      <c r="E626" s="162"/>
    </row>
    <row r="627">
      <c r="A627" s="164"/>
      <c r="B627" s="165"/>
      <c r="C627" s="160"/>
      <c r="D627" s="166"/>
      <c r="E627" s="162"/>
    </row>
    <row r="628">
      <c r="A628" s="164"/>
      <c r="B628" s="165"/>
      <c r="C628" s="160"/>
      <c r="D628" s="166"/>
      <c r="E628" s="162"/>
    </row>
    <row r="629">
      <c r="A629" s="164"/>
      <c r="B629" s="165"/>
      <c r="C629" s="160"/>
      <c r="D629" s="166"/>
      <c r="E629" s="162"/>
    </row>
    <row r="630">
      <c r="A630" s="164"/>
      <c r="B630" s="165"/>
      <c r="C630" s="160"/>
      <c r="D630" s="166"/>
      <c r="E630" s="162"/>
    </row>
    <row r="631">
      <c r="A631" s="164"/>
      <c r="B631" s="165"/>
      <c r="C631" s="160"/>
      <c r="D631" s="166"/>
      <c r="E631" s="162"/>
    </row>
    <row r="632">
      <c r="A632" s="164"/>
      <c r="B632" s="165"/>
      <c r="C632" s="160"/>
      <c r="D632" s="166"/>
      <c r="E632" s="162"/>
    </row>
    <row r="633">
      <c r="A633" s="164"/>
      <c r="B633" s="165"/>
      <c r="C633" s="160"/>
      <c r="D633" s="166"/>
      <c r="E633" s="162"/>
    </row>
    <row r="634">
      <c r="A634" s="164"/>
      <c r="B634" s="165"/>
      <c r="C634" s="160"/>
      <c r="D634" s="166"/>
      <c r="E634" s="162"/>
    </row>
    <row r="635">
      <c r="A635" s="164"/>
      <c r="B635" s="165"/>
      <c r="C635" s="160"/>
      <c r="D635" s="166"/>
      <c r="E635" s="162"/>
    </row>
    <row r="636">
      <c r="A636" s="164"/>
      <c r="B636" s="165"/>
      <c r="C636" s="160"/>
      <c r="D636" s="166"/>
      <c r="E636" s="162"/>
    </row>
    <row r="637">
      <c r="A637" s="164"/>
      <c r="B637" s="165"/>
      <c r="C637" s="160"/>
      <c r="D637" s="166"/>
      <c r="E637" s="162"/>
    </row>
    <row r="638">
      <c r="A638" s="164"/>
      <c r="B638" s="165"/>
      <c r="C638" s="160"/>
      <c r="D638" s="166"/>
      <c r="E638" s="162"/>
    </row>
    <row r="639">
      <c r="A639" s="164"/>
      <c r="B639" s="165"/>
      <c r="C639" s="160"/>
      <c r="D639" s="166"/>
      <c r="E639" s="162"/>
    </row>
    <row r="640">
      <c r="A640" s="164"/>
      <c r="B640" s="165"/>
      <c r="C640" s="160"/>
      <c r="D640" s="166"/>
      <c r="E640" s="162"/>
    </row>
    <row r="641">
      <c r="A641" s="164"/>
      <c r="B641" s="165"/>
      <c r="C641" s="160"/>
      <c r="D641" s="166"/>
      <c r="E641" s="162"/>
    </row>
    <row r="642">
      <c r="A642" s="164"/>
      <c r="B642" s="165"/>
      <c r="C642" s="160"/>
      <c r="D642" s="166"/>
      <c r="E642" s="162"/>
    </row>
    <row r="643">
      <c r="A643" s="164"/>
      <c r="B643" s="165"/>
      <c r="C643" s="160"/>
      <c r="D643" s="166"/>
      <c r="E643" s="162"/>
    </row>
    <row r="644">
      <c r="A644" s="164"/>
      <c r="B644" s="165"/>
      <c r="C644" s="160"/>
      <c r="D644" s="166"/>
      <c r="E644" s="162"/>
    </row>
    <row r="645">
      <c r="A645" s="164"/>
      <c r="B645" s="165"/>
      <c r="C645" s="160"/>
      <c r="D645" s="166"/>
      <c r="E645" s="162"/>
    </row>
    <row r="646">
      <c r="A646" s="164"/>
      <c r="B646" s="165"/>
      <c r="C646" s="160"/>
      <c r="D646" s="166"/>
      <c r="E646" s="162"/>
    </row>
    <row r="647">
      <c r="A647" s="164"/>
      <c r="B647" s="165"/>
      <c r="C647" s="160"/>
      <c r="D647" s="166"/>
      <c r="E647" s="162"/>
    </row>
    <row r="648">
      <c r="A648" s="164"/>
      <c r="B648" s="165"/>
      <c r="C648" s="160"/>
      <c r="D648" s="166"/>
      <c r="E648" s="162"/>
    </row>
    <row r="649">
      <c r="A649" s="164"/>
      <c r="B649" s="165"/>
      <c r="C649" s="160"/>
      <c r="D649" s="166"/>
      <c r="E649" s="162"/>
    </row>
    <row r="650">
      <c r="A650" s="164"/>
      <c r="B650" s="165"/>
      <c r="C650" s="160"/>
      <c r="D650" s="166"/>
      <c r="E650" s="162"/>
    </row>
    <row r="651">
      <c r="A651" s="164"/>
      <c r="B651" s="165"/>
      <c r="C651" s="160"/>
      <c r="D651" s="166"/>
      <c r="E651" s="162"/>
    </row>
    <row r="652">
      <c r="A652" s="164"/>
      <c r="B652" s="165"/>
      <c r="C652" s="160"/>
      <c r="D652" s="166"/>
      <c r="E652" s="162"/>
    </row>
    <row r="653">
      <c r="A653" s="164"/>
      <c r="B653" s="165"/>
      <c r="C653" s="160"/>
      <c r="D653" s="166"/>
      <c r="E653" s="162"/>
    </row>
    <row r="654">
      <c r="A654" s="164"/>
      <c r="B654" s="165"/>
      <c r="C654" s="160"/>
      <c r="D654" s="166"/>
      <c r="E654" s="162"/>
    </row>
    <row r="655">
      <c r="A655" s="164"/>
      <c r="B655" s="165"/>
      <c r="C655" s="160"/>
      <c r="D655" s="166"/>
      <c r="E655" s="162"/>
    </row>
    <row r="656">
      <c r="A656" s="164"/>
      <c r="B656" s="165"/>
      <c r="C656" s="160"/>
      <c r="D656" s="166"/>
      <c r="E656" s="162"/>
    </row>
    <row r="657">
      <c r="A657" s="164"/>
      <c r="B657" s="165"/>
      <c r="C657" s="160"/>
      <c r="D657" s="166"/>
      <c r="E657" s="162"/>
    </row>
    <row r="658">
      <c r="A658" s="164"/>
      <c r="B658" s="165"/>
      <c r="C658" s="160"/>
      <c r="D658" s="166"/>
      <c r="E658" s="162"/>
    </row>
    <row r="659">
      <c r="A659" s="164"/>
      <c r="B659" s="165"/>
      <c r="C659" s="160"/>
      <c r="D659" s="166"/>
      <c r="E659" s="162"/>
    </row>
    <row r="660">
      <c r="A660" s="164"/>
      <c r="B660" s="165"/>
      <c r="C660" s="160"/>
      <c r="D660" s="166"/>
      <c r="E660" s="162"/>
    </row>
    <row r="661">
      <c r="A661" s="164"/>
      <c r="B661" s="165"/>
      <c r="C661" s="160"/>
      <c r="D661" s="166"/>
      <c r="E661" s="162"/>
    </row>
    <row r="662">
      <c r="A662" s="164"/>
      <c r="B662" s="165"/>
      <c r="C662" s="160"/>
      <c r="D662" s="166"/>
      <c r="E662" s="162"/>
    </row>
    <row r="663">
      <c r="A663" s="164"/>
      <c r="B663" s="165"/>
      <c r="C663" s="160"/>
      <c r="D663" s="166"/>
      <c r="E663" s="162"/>
    </row>
    <row r="664">
      <c r="A664" s="164"/>
      <c r="B664" s="165"/>
      <c r="C664" s="160"/>
      <c r="D664" s="166"/>
      <c r="E664" s="162"/>
    </row>
    <row r="665">
      <c r="A665" s="164"/>
      <c r="B665" s="165"/>
      <c r="C665" s="160"/>
      <c r="D665" s="166"/>
      <c r="E665" s="162"/>
    </row>
    <row r="666">
      <c r="A666" s="164"/>
      <c r="B666" s="165"/>
      <c r="C666" s="160"/>
      <c r="D666" s="166"/>
      <c r="E666" s="162"/>
    </row>
    <row r="667">
      <c r="A667" s="164"/>
      <c r="B667" s="165"/>
      <c r="C667" s="160"/>
      <c r="D667" s="166"/>
      <c r="E667" s="162"/>
    </row>
    <row r="668">
      <c r="A668" s="164"/>
      <c r="B668" s="165"/>
      <c r="C668" s="160"/>
      <c r="D668" s="166"/>
      <c r="E668" s="162"/>
    </row>
    <row r="669">
      <c r="A669" s="164"/>
      <c r="B669" s="165"/>
      <c r="C669" s="160"/>
      <c r="D669" s="166"/>
      <c r="E669" s="162"/>
    </row>
    <row r="670">
      <c r="A670" s="164"/>
      <c r="B670" s="165"/>
      <c r="C670" s="160"/>
      <c r="D670" s="166"/>
      <c r="E670" s="162"/>
    </row>
    <row r="671">
      <c r="A671" s="164"/>
      <c r="B671" s="165"/>
      <c r="C671" s="160"/>
      <c r="D671" s="166"/>
      <c r="E671" s="162"/>
    </row>
    <row r="672">
      <c r="A672" s="164"/>
      <c r="B672" s="165"/>
      <c r="C672" s="160"/>
      <c r="D672" s="166"/>
      <c r="E672" s="162"/>
    </row>
    <row r="673">
      <c r="A673" s="164"/>
      <c r="B673" s="165"/>
      <c r="C673" s="160"/>
      <c r="D673" s="166"/>
      <c r="E673" s="162"/>
    </row>
    <row r="674">
      <c r="A674" s="164"/>
      <c r="B674" s="165"/>
      <c r="C674" s="160"/>
      <c r="D674" s="166"/>
      <c r="E674" s="162"/>
    </row>
    <row r="675">
      <c r="A675" s="164"/>
      <c r="B675" s="165"/>
      <c r="C675" s="160"/>
      <c r="D675" s="166"/>
      <c r="E675" s="162"/>
    </row>
    <row r="676">
      <c r="A676" s="164"/>
      <c r="B676" s="165"/>
      <c r="C676" s="160"/>
      <c r="D676" s="166"/>
      <c r="E676" s="162"/>
    </row>
    <row r="677">
      <c r="A677" s="164"/>
      <c r="B677" s="165"/>
      <c r="C677" s="160"/>
      <c r="D677" s="166"/>
      <c r="E677" s="162"/>
    </row>
    <row r="678">
      <c r="A678" s="164"/>
      <c r="B678" s="165"/>
      <c r="C678" s="160"/>
      <c r="D678" s="166"/>
      <c r="E678" s="162"/>
    </row>
    <row r="679">
      <c r="A679" s="164"/>
      <c r="B679" s="165"/>
      <c r="C679" s="160"/>
      <c r="D679" s="166"/>
      <c r="E679" s="162"/>
    </row>
    <row r="680">
      <c r="A680" s="164"/>
      <c r="B680" s="165"/>
      <c r="C680" s="160"/>
      <c r="D680" s="166"/>
      <c r="E680" s="162"/>
    </row>
    <row r="681">
      <c r="A681" s="164"/>
      <c r="B681" s="165"/>
      <c r="C681" s="160"/>
      <c r="D681" s="166"/>
      <c r="E681" s="162"/>
    </row>
    <row r="682">
      <c r="A682" s="164"/>
      <c r="B682" s="165"/>
      <c r="C682" s="160"/>
      <c r="D682" s="166"/>
      <c r="E682" s="162"/>
    </row>
    <row r="683">
      <c r="A683" s="164"/>
      <c r="B683" s="165"/>
      <c r="C683" s="160"/>
      <c r="D683" s="166"/>
      <c r="E683" s="162"/>
    </row>
    <row r="684">
      <c r="A684" s="164"/>
      <c r="B684" s="165"/>
      <c r="C684" s="160"/>
      <c r="D684" s="166"/>
      <c r="E684" s="162"/>
    </row>
    <row r="685">
      <c r="A685" s="164"/>
      <c r="B685" s="165"/>
      <c r="C685" s="160"/>
      <c r="D685" s="166"/>
      <c r="E685" s="162"/>
    </row>
    <row r="686">
      <c r="A686" s="164"/>
      <c r="B686" s="165"/>
      <c r="C686" s="160"/>
      <c r="D686" s="166"/>
      <c r="E686" s="162"/>
    </row>
    <row r="687">
      <c r="A687" s="164"/>
      <c r="B687" s="165"/>
      <c r="C687" s="160"/>
      <c r="D687" s="166"/>
      <c r="E687" s="162"/>
    </row>
    <row r="688">
      <c r="A688" s="164"/>
      <c r="B688" s="165"/>
      <c r="C688" s="160"/>
      <c r="D688" s="166"/>
      <c r="E688" s="162"/>
    </row>
    <row r="689">
      <c r="A689" s="164"/>
      <c r="B689" s="165"/>
      <c r="C689" s="160"/>
      <c r="D689" s="166"/>
      <c r="E689" s="162"/>
    </row>
    <row r="690">
      <c r="A690" s="164"/>
      <c r="B690" s="165"/>
      <c r="C690" s="160"/>
      <c r="D690" s="166"/>
      <c r="E690" s="162"/>
    </row>
    <row r="691">
      <c r="A691" s="164"/>
      <c r="B691" s="165"/>
      <c r="C691" s="160"/>
      <c r="D691" s="166"/>
      <c r="E691" s="162"/>
    </row>
    <row r="692">
      <c r="A692" s="164"/>
      <c r="B692" s="165"/>
      <c r="C692" s="160"/>
      <c r="D692" s="166"/>
      <c r="E692" s="162"/>
    </row>
    <row r="693">
      <c r="A693" s="164"/>
      <c r="B693" s="165"/>
      <c r="C693" s="160"/>
      <c r="D693" s="166"/>
      <c r="E693" s="162"/>
    </row>
    <row r="694">
      <c r="A694" s="164"/>
      <c r="B694" s="165"/>
      <c r="C694" s="160"/>
      <c r="D694" s="166"/>
      <c r="E694" s="162"/>
    </row>
    <row r="695">
      <c r="A695" s="164"/>
      <c r="B695" s="165"/>
      <c r="C695" s="160"/>
      <c r="D695" s="166"/>
      <c r="E695" s="162"/>
    </row>
    <row r="696">
      <c r="A696" s="164"/>
      <c r="B696" s="165"/>
      <c r="C696" s="160"/>
      <c r="D696" s="166"/>
      <c r="E696" s="162"/>
    </row>
    <row r="697">
      <c r="A697" s="164"/>
      <c r="B697" s="165"/>
      <c r="C697" s="160"/>
      <c r="D697" s="166"/>
      <c r="E697" s="162"/>
    </row>
    <row r="698">
      <c r="A698" s="164"/>
      <c r="B698" s="165"/>
      <c r="C698" s="160"/>
      <c r="D698" s="166"/>
      <c r="E698" s="162"/>
    </row>
    <row r="699">
      <c r="A699" s="164"/>
      <c r="B699" s="165"/>
      <c r="C699" s="160"/>
      <c r="D699" s="166"/>
      <c r="E699" s="162"/>
    </row>
    <row r="700">
      <c r="A700" s="164"/>
      <c r="B700" s="165"/>
      <c r="C700" s="160"/>
      <c r="D700" s="166"/>
      <c r="E700" s="162"/>
    </row>
    <row r="701">
      <c r="A701" s="164"/>
      <c r="B701" s="165"/>
      <c r="C701" s="160"/>
      <c r="D701" s="166"/>
      <c r="E701" s="162"/>
    </row>
    <row r="702">
      <c r="A702" s="164"/>
      <c r="B702" s="165"/>
      <c r="C702" s="160"/>
      <c r="D702" s="166"/>
      <c r="E702" s="162"/>
    </row>
    <row r="703">
      <c r="A703" s="164"/>
      <c r="B703" s="165"/>
      <c r="C703" s="160"/>
      <c r="D703" s="166"/>
      <c r="E703" s="162"/>
    </row>
    <row r="704">
      <c r="A704" s="164"/>
      <c r="B704" s="165"/>
      <c r="C704" s="160"/>
      <c r="D704" s="166"/>
      <c r="E704" s="162"/>
    </row>
    <row r="705">
      <c r="A705" s="164"/>
      <c r="B705" s="165"/>
      <c r="C705" s="160"/>
      <c r="D705" s="166"/>
      <c r="E705" s="162"/>
    </row>
    <row r="706">
      <c r="A706" s="164"/>
      <c r="B706" s="165"/>
      <c r="C706" s="160"/>
      <c r="D706" s="166"/>
      <c r="E706" s="162"/>
    </row>
    <row r="707">
      <c r="A707" s="164"/>
      <c r="B707" s="165"/>
      <c r="C707" s="160"/>
      <c r="D707" s="166"/>
      <c r="E707" s="162"/>
    </row>
    <row r="708">
      <c r="A708" s="164"/>
      <c r="B708" s="165"/>
      <c r="C708" s="160"/>
      <c r="D708" s="166"/>
      <c r="E708" s="162"/>
    </row>
    <row r="709">
      <c r="A709" s="164"/>
      <c r="B709" s="165"/>
      <c r="C709" s="160"/>
      <c r="D709" s="166"/>
      <c r="E709" s="162"/>
    </row>
    <row r="710">
      <c r="A710" s="164"/>
      <c r="B710" s="165"/>
      <c r="C710" s="160"/>
      <c r="D710" s="166"/>
      <c r="E710" s="162"/>
    </row>
    <row r="711">
      <c r="A711" s="164"/>
      <c r="B711" s="165"/>
      <c r="C711" s="160"/>
      <c r="D711" s="166"/>
      <c r="E711" s="162"/>
    </row>
    <row r="712">
      <c r="A712" s="164"/>
      <c r="B712" s="165"/>
      <c r="C712" s="160"/>
      <c r="D712" s="166"/>
      <c r="E712" s="162"/>
    </row>
    <row r="713">
      <c r="A713" s="164"/>
      <c r="B713" s="165"/>
      <c r="C713" s="160"/>
      <c r="D713" s="166"/>
      <c r="E713" s="162"/>
    </row>
    <row r="714">
      <c r="A714" s="164"/>
      <c r="B714" s="165"/>
      <c r="C714" s="160"/>
      <c r="D714" s="166"/>
      <c r="E714" s="162"/>
    </row>
    <row r="715">
      <c r="A715" s="164"/>
      <c r="B715" s="165"/>
      <c r="C715" s="160"/>
      <c r="D715" s="166"/>
      <c r="E715" s="162"/>
    </row>
    <row r="716">
      <c r="A716" s="164"/>
      <c r="B716" s="165"/>
      <c r="C716" s="160"/>
      <c r="D716" s="166"/>
      <c r="E716" s="162"/>
    </row>
    <row r="717">
      <c r="A717" s="164"/>
      <c r="B717" s="165"/>
      <c r="C717" s="160"/>
      <c r="D717" s="166"/>
      <c r="E717" s="162"/>
    </row>
    <row r="718">
      <c r="A718" s="164"/>
      <c r="B718" s="165"/>
      <c r="C718" s="160"/>
      <c r="D718" s="166"/>
      <c r="E718" s="162"/>
    </row>
    <row r="719">
      <c r="A719" s="164"/>
      <c r="B719" s="165"/>
      <c r="C719" s="160"/>
      <c r="D719" s="166"/>
      <c r="E719" s="162"/>
    </row>
    <row r="720">
      <c r="A720" s="164"/>
      <c r="B720" s="165"/>
      <c r="C720" s="160"/>
      <c r="D720" s="166"/>
      <c r="E720" s="162"/>
    </row>
    <row r="721">
      <c r="A721" s="164"/>
      <c r="B721" s="165"/>
      <c r="C721" s="160"/>
      <c r="D721" s="166"/>
      <c r="E721" s="162"/>
    </row>
    <row r="722">
      <c r="A722" s="164"/>
      <c r="B722" s="165"/>
      <c r="C722" s="160"/>
      <c r="D722" s="166"/>
      <c r="E722" s="162"/>
    </row>
    <row r="723">
      <c r="A723" s="164"/>
      <c r="B723" s="165"/>
      <c r="C723" s="160"/>
      <c r="D723" s="166"/>
      <c r="E723" s="162"/>
    </row>
    <row r="724">
      <c r="A724" s="164"/>
      <c r="B724" s="165"/>
      <c r="C724" s="160"/>
      <c r="D724" s="166"/>
      <c r="E724" s="162"/>
    </row>
    <row r="725">
      <c r="A725" s="164"/>
      <c r="B725" s="165"/>
      <c r="C725" s="160"/>
      <c r="D725" s="166"/>
      <c r="E725" s="162"/>
    </row>
    <row r="726">
      <c r="A726" s="164"/>
      <c r="B726" s="165"/>
      <c r="C726" s="160"/>
      <c r="D726" s="166"/>
      <c r="E726" s="162"/>
    </row>
    <row r="727">
      <c r="A727" s="164"/>
      <c r="B727" s="165"/>
      <c r="C727" s="160"/>
      <c r="D727" s="166"/>
      <c r="E727" s="162"/>
    </row>
    <row r="728">
      <c r="A728" s="164"/>
      <c r="B728" s="165"/>
      <c r="C728" s="160"/>
      <c r="D728" s="166"/>
      <c r="E728" s="162"/>
    </row>
    <row r="729">
      <c r="A729" s="164"/>
      <c r="B729" s="165"/>
      <c r="C729" s="160"/>
      <c r="D729" s="166"/>
      <c r="E729" s="162"/>
    </row>
    <row r="730">
      <c r="A730" s="164"/>
      <c r="B730" s="165"/>
      <c r="C730" s="160"/>
      <c r="D730" s="166"/>
      <c r="E730" s="162"/>
    </row>
    <row r="731">
      <c r="A731" s="164"/>
      <c r="B731" s="165"/>
      <c r="C731" s="160"/>
      <c r="D731" s="166"/>
      <c r="E731" s="162"/>
    </row>
    <row r="732">
      <c r="A732" s="164"/>
      <c r="B732" s="165"/>
      <c r="C732" s="160"/>
      <c r="D732" s="166"/>
      <c r="E732" s="162"/>
    </row>
    <row r="733">
      <c r="A733" s="164"/>
      <c r="B733" s="165"/>
      <c r="C733" s="160"/>
      <c r="D733" s="166"/>
      <c r="E733" s="162"/>
    </row>
    <row r="734">
      <c r="A734" s="164"/>
      <c r="B734" s="165"/>
      <c r="C734" s="160"/>
      <c r="D734" s="166"/>
      <c r="E734" s="162"/>
    </row>
    <row r="735">
      <c r="A735" s="164"/>
      <c r="B735" s="165"/>
      <c r="C735" s="160"/>
      <c r="D735" s="166"/>
      <c r="E735" s="162"/>
    </row>
    <row r="736">
      <c r="A736" s="164"/>
      <c r="B736" s="165"/>
      <c r="C736" s="160"/>
      <c r="D736" s="166"/>
      <c r="E736" s="162"/>
    </row>
    <row r="737">
      <c r="A737" s="164"/>
      <c r="B737" s="165"/>
      <c r="C737" s="160"/>
      <c r="D737" s="166"/>
      <c r="E737" s="162"/>
    </row>
    <row r="738">
      <c r="A738" s="164"/>
      <c r="B738" s="165"/>
      <c r="C738" s="160"/>
      <c r="D738" s="166"/>
      <c r="E738" s="162"/>
    </row>
    <row r="739">
      <c r="A739" s="164"/>
      <c r="B739" s="165"/>
      <c r="C739" s="160"/>
      <c r="D739" s="166"/>
      <c r="E739" s="162"/>
    </row>
    <row r="740">
      <c r="A740" s="164"/>
      <c r="B740" s="165"/>
      <c r="C740" s="160"/>
      <c r="D740" s="166"/>
      <c r="E740" s="162"/>
    </row>
    <row r="741">
      <c r="A741" s="164"/>
      <c r="B741" s="165"/>
      <c r="C741" s="160"/>
      <c r="D741" s="166"/>
      <c r="E741" s="162"/>
    </row>
    <row r="742">
      <c r="A742" s="164"/>
      <c r="B742" s="165"/>
      <c r="C742" s="160"/>
      <c r="D742" s="166"/>
      <c r="E742" s="162"/>
    </row>
    <row r="743">
      <c r="A743" s="164"/>
      <c r="B743" s="165"/>
      <c r="C743" s="160"/>
      <c r="D743" s="166"/>
      <c r="E743" s="162"/>
    </row>
    <row r="744">
      <c r="A744" s="164"/>
      <c r="B744" s="165"/>
      <c r="C744" s="160"/>
      <c r="D744" s="166"/>
      <c r="E744" s="162"/>
    </row>
    <row r="745">
      <c r="A745" s="164"/>
      <c r="B745" s="165"/>
      <c r="C745" s="160"/>
      <c r="D745" s="166"/>
      <c r="E745" s="162"/>
    </row>
    <row r="746">
      <c r="A746" s="164"/>
      <c r="B746" s="165"/>
      <c r="C746" s="160"/>
      <c r="D746" s="166"/>
      <c r="E746" s="162"/>
    </row>
    <row r="747">
      <c r="A747" s="164"/>
      <c r="B747" s="165"/>
      <c r="C747" s="160"/>
      <c r="D747" s="166"/>
      <c r="E747" s="162"/>
    </row>
    <row r="748">
      <c r="A748" s="164"/>
      <c r="B748" s="165"/>
      <c r="C748" s="160"/>
      <c r="D748" s="166"/>
      <c r="E748" s="162"/>
    </row>
    <row r="749">
      <c r="A749" s="164"/>
      <c r="B749" s="165"/>
      <c r="C749" s="160"/>
      <c r="D749" s="166"/>
      <c r="E749" s="162"/>
    </row>
    <row r="750">
      <c r="A750" s="164"/>
      <c r="B750" s="165"/>
      <c r="C750" s="160"/>
      <c r="D750" s="166"/>
      <c r="E750" s="162"/>
    </row>
    <row r="751">
      <c r="A751" s="164"/>
      <c r="B751" s="165"/>
      <c r="C751" s="160"/>
      <c r="D751" s="166"/>
      <c r="E751" s="162"/>
    </row>
    <row r="752">
      <c r="A752" s="164"/>
      <c r="B752" s="165"/>
      <c r="C752" s="160"/>
      <c r="D752" s="166"/>
      <c r="E752" s="162"/>
    </row>
    <row r="753">
      <c r="A753" s="164"/>
      <c r="B753" s="165"/>
      <c r="C753" s="160"/>
      <c r="D753" s="166"/>
      <c r="E753" s="162"/>
    </row>
    <row r="754">
      <c r="A754" s="164"/>
      <c r="B754" s="165"/>
      <c r="C754" s="160"/>
      <c r="D754" s="166"/>
      <c r="E754" s="162"/>
    </row>
    <row r="755">
      <c r="A755" s="164"/>
      <c r="B755" s="165"/>
      <c r="C755" s="160"/>
      <c r="D755" s="166"/>
      <c r="E755" s="162"/>
    </row>
    <row r="756">
      <c r="A756" s="164"/>
      <c r="B756" s="165"/>
      <c r="C756" s="160"/>
      <c r="D756" s="166"/>
      <c r="E756" s="162"/>
    </row>
    <row r="757">
      <c r="A757" s="164"/>
      <c r="B757" s="165"/>
      <c r="C757" s="160"/>
      <c r="D757" s="166"/>
      <c r="E757" s="162"/>
    </row>
    <row r="758">
      <c r="A758" s="164"/>
      <c r="B758" s="165"/>
      <c r="C758" s="160"/>
      <c r="D758" s="166"/>
      <c r="E758" s="162"/>
    </row>
    <row r="759">
      <c r="A759" s="164"/>
      <c r="B759" s="165"/>
      <c r="C759" s="160"/>
      <c r="D759" s="166"/>
      <c r="E759" s="162"/>
    </row>
    <row r="760">
      <c r="A760" s="164"/>
      <c r="B760" s="165"/>
      <c r="C760" s="160"/>
      <c r="D760" s="166"/>
      <c r="E760" s="162"/>
    </row>
    <row r="761">
      <c r="A761" s="164"/>
      <c r="B761" s="165"/>
      <c r="C761" s="160"/>
      <c r="D761" s="166"/>
      <c r="E761" s="162"/>
    </row>
    <row r="762">
      <c r="A762" s="164"/>
      <c r="B762" s="165"/>
      <c r="C762" s="160"/>
      <c r="D762" s="166"/>
      <c r="E762" s="162"/>
    </row>
    <row r="763">
      <c r="A763" s="164"/>
      <c r="B763" s="165"/>
      <c r="C763" s="160"/>
      <c r="D763" s="166"/>
      <c r="E763" s="162"/>
    </row>
    <row r="764">
      <c r="A764" s="164"/>
      <c r="B764" s="165"/>
      <c r="C764" s="160"/>
      <c r="D764" s="166"/>
      <c r="E764" s="162"/>
    </row>
    <row r="765">
      <c r="A765" s="164"/>
      <c r="B765" s="165"/>
      <c r="C765" s="160"/>
      <c r="D765" s="166"/>
      <c r="E765" s="162"/>
    </row>
    <row r="766">
      <c r="A766" s="164"/>
      <c r="B766" s="165"/>
      <c r="C766" s="160"/>
      <c r="D766" s="166"/>
      <c r="E766" s="162"/>
    </row>
    <row r="767">
      <c r="A767" s="164"/>
      <c r="B767" s="165"/>
      <c r="C767" s="160"/>
      <c r="D767" s="166"/>
      <c r="E767" s="162"/>
    </row>
    <row r="768">
      <c r="A768" s="164"/>
      <c r="B768" s="165"/>
      <c r="C768" s="160"/>
      <c r="D768" s="166"/>
      <c r="E768" s="162"/>
    </row>
    <row r="769">
      <c r="A769" s="164"/>
      <c r="B769" s="165"/>
      <c r="C769" s="160"/>
      <c r="D769" s="166"/>
      <c r="E769" s="162"/>
    </row>
    <row r="770">
      <c r="A770" s="164"/>
      <c r="B770" s="165"/>
      <c r="C770" s="160"/>
      <c r="D770" s="166"/>
      <c r="E770" s="162"/>
    </row>
    <row r="771">
      <c r="A771" s="164"/>
      <c r="B771" s="165"/>
      <c r="C771" s="160"/>
      <c r="D771" s="166"/>
      <c r="E771" s="162"/>
    </row>
    <row r="772">
      <c r="A772" s="164"/>
      <c r="B772" s="165"/>
      <c r="C772" s="160"/>
      <c r="D772" s="166"/>
      <c r="E772" s="162"/>
    </row>
    <row r="773">
      <c r="A773" s="164"/>
      <c r="B773" s="165"/>
      <c r="C773" s="160"/>
      <c r="D773" s="166"/>
      <c r="E773" s="162"/>
    </row>
    <row r="774">
      <c r="A774" s="164"/>
      <c r="B774" s="165"/>
      <c r="C774" s="160"/>
      <c r="D774" s="166"/>
      <c r="E774" s="162"/>
    </row>
    <row r="775">
      <c r="A775" s="164"/>
      <c r="B775" s="165"/>
      <c r="C775" s="160"/>
      <c r="D775" s="166"/>
      <c r="E775" s="162"/>
    </row>
    <row r="776">
      <c r="A776" s="164"/>
      <c r="B776" s="165"/>
      <c r="C776" s="160"/>
      <c r="D776" s="166"/>
      <c r="E776" s="162"/>
    </row>
    <row r="777">
      <c r="A777" s="164"/>
      <c r="B777" s="165"/>
      <c r="C777" s="160"/>
      <c r="D777" s="166"/>
      <c r="E777" s="162"/>
    </row>
    <row r="778">
      <c r="A778" s="164"/>
      <c r="B778" s="165"/>
      <c r="C778" s="160"/>
      <c r="D778" s="166"/>
      <c r="E778" s="162"/>
    </row>
    <row r="779">
      <c r="A779" s="164"/>
      <c r="B779" s="165"/>
      <c r="C779" s="160"/>
      <c r="D779" s="166"/>
      <c r="E779" s="162"/>
    </row>
    <row r="780">
      <c r="A780" s="164"/>
      <c r="B780" s="165"/>
      <c r="C780" s="160"/>
      <c r="D780" s="166"/>
      <c r="E780" s="162"/>
    </row>
    <row r="781">
      <c r="A781" s="164"/>
      <c r="B781" s="165"/>
      <c r="C781" s="160"/>
      <c r="D781" s="166"/>
      <c r="E781" s="162"/>
    </row>
    <row r="782">
      <c r="A782" s="164"/>
      <c r="B782" s="165"/>
      <c r="C782" s="160"/>
      <c r="D782" s="166"/>
      <c r="E782" s="162"/>
    </row>
    <row r="783">
      <c r="A783" s="164"/>
      <c r="B783" s="165"/>
      <c r="C783" s="160"/>
      <c r="D783" s="166"/>
      <c r="E783" s="162"/>
    </row>
    <row r="784">
      <c r="A784" s="164"/>
      <c r="B784" s="165"/>
      <c r="C784" s="160"/>
      <c r="D784" s="166"/>
      <c r="E784" s="162"/>
    </row>
    <row r="785">
      <c r="A785" s="164"/>
      <c r="B785" s="165"/>
      <c r="C785" s="160"/>
      <c r="D785" s="166"/>
      <c r="E785" s="162"/>
    </row>
    <row r="786">
      <c r="A786" s="164"/>
      <c r="B786" s="165"/>
      <c r="C786" s="160"/>
      <c r="D786" s="166"/>
      <c r="E786" s="162"/>
    </row>
    <row r="787">
      <c r="A787" s="164"/>
      <c r="B787" s="165"/>
      <c r="C787" s="160"/>
      <c r="D787" s="166"/>
      <c r="E787" s="162"/>
    </row>
    <row r="788">
      <c r="A788" s="164"/>
      <c r="B788" s="165"/>
      <c r="C788" s="160"/>
      <c r="D788" s="166"/>
      <c r="E788" s="162"/>
    </row>
    <row r="789">
      <c r="A789" s="164"/>
      <c r="B789" s="165"/>
      <c r="C789" s="160"/>
      <c r="D789" s="166"/>
      <c r="E789" s="162"/>
    </row>
    <row r="790">
      <c r="A790" s="164"/>
      <c r="B790" s="165"/>
      <c r="C790" s="160"/>
      <c r="D790" s="166"/>
      <c r="E790" s="162"/>
    </row>
    <row r="791">
      <c r="A791" s="164"/>
      <c r="B791" s="165"/>
      <c r="C791" s="160"/>
      <c r="D791" s="166"/>
      <c r="E791" s="162"/>
    </row>
    <row r="792">
      <c r="A792" s="164"/>
      <c r="B792" s="165"/>
      <c r="C792" s="160"/>
      <c r="D792" s="166"/>
      <c r="E792" s="162"/>
    </row>
    <row r="793">
      <c r="A793" s="164"/>
      <c r="B793" s="165"/>
      <c r="C793" s="160"/>
      <c r="D793" s="166"/>
      <c r="E793" s="162"/>
    </row>
    <row r="794">
      <c r="A794" s="164"/>
      <c r="B794" s="165"/>
      <c r="C794" s="160"/>
      <c r="D794" s="166"/>
      <c r="E794" s="162"/>
    </row>
    <row r="795">
      <c r="A795" s="164"/>
      <c r="B795" s="165"/>
      <c r="C795" s="160"/>
      <c r="D795" s="166"/>
      <c r="E795" s="162"/>
    </row>
    <row r="796">
      <c r="A796" s="164"/>
      <c r="B796" s="165"/>
      <c r="C796" s="160"/>
      <c r="D796" s="166"/>
      <c r="E796" s="162"/>
    </row>
    <row r="797">
      <c r="A797" s="164"/>
      <c r="B797" s="165"/>
      <c r="C797" s="160"/>
      <c r="D797" s="166"/>
      <c r="E797" s="162"/>
    </row>
    <row r="798">
      <c r="A798" s="164"/>
      <c r="B798" s="165"/>
      <c r="C798" s="160"/>
      <c r="D798" s="166"/>
      <c r="E798" s="162"/>
    </row>
    <row r="799">
      <c r="A799" s="164"/>
      <c r="B799" s="165"/>
      <c r="C799" s="160"/>
      <c r="D799" s="166"/>
      <c r="E799" s="162"/>
    </row>
    <row r="800">
      <c r="A800" s="164"/>
      <c r="B800" s="165"/>
      <c r="C800" s="160"/>
      <c r="D800" s="166"/>
      <c r="E800" s="162"/>
    </row>
    <row r="801">
      <c r="A801" s="164"/>
      <c r="B801" s="165"/>
      <c r="C801" s="160"/>
      <c r="D801" s="166"/>
      <c r="E801" s="162"/>
    </row>
    <row r="802">
      <c r="A802" s="164"/>
      <c r="B802" s="165"/>
      <c r="C802" s="160"/>
      <c r="D802" s="166"/>
      <c r="E802" s="162"/>
    </row>
    <row r="803">
      <c r="A803" s="164"/>
      <c r="B803" s="165"/>
      <c r="C803" s="160"/>
      <c r="D803" s="166"/>
      <c r="E803" s="162"/>
    </row>
    <row r="804">
      <c r="A804" s="164"/>
      <c r="B804" s="165"/>
      <c r="C804" s="160"/>
      <c r="D804" s="166"/>
      <c r="E804" s="162"/>
    </row>
    <row r="805">
      <c r="A805" s="164"/>
      <c r="B805" s="165"/>
      <c r="C805" s="160"/>
      <c r="D805" s="166"/>
      <c r="E805" s="162"/>
    </row>
    <row r="806">
      <c r="A806" s="164"/>
      <c r="B806" s="165"/>
      <c r="C806" s="160"/>
      <c r="D806" s="166"/>
      <c r="E806" s="162"/>
    </row>
    <row r="807">
      <c r="A807" s="164"/>
      <c r="B807" s="165"/>
      <c r="C807" s="160"/>
      <c r="D807" s="166"/>
      <c r="E807" s="162"/>
    </row>
    <row r="808">
      <c r="A808" s="164"/>
      <c r="B808" s="165"/>
      <c r="C808" s="160"/>
      <c r="D808" s="166"/>
      <c r="E808" s="162"/>
    </row>
    <row r="809">
      <c r="A809" s="164"/>
      <c r="B809" s="165"/>
      <c r="C809" s="160"/>
      <c r="D809" s="166"/>
      <c r="E809" s="162"/>
    </row>
    <row r="810">
      <c r="A810" s="164"/>
      <c r="B810" s="165"/>
      <c r="C810" s="160"/>
      <c r="D810" s="166"/>
      <c r="E810" s="162"/>
    </row>
    <row r="811">
      <c r="A811" s="164"/>
      <c r="B811" s="165"/>
      <c r="C811" s="160"/>
      <c r="D811" s="166"/>
      <c r="E811" s="162"/>
    </row>
    <row r="812">
      <c r="A812" s="164"/>
      <c r="B812" s="165"/>
      <c r="C812" s="160"/>
      <c r="D812" s="166"/>
      <c r="E812" s="162"/>
    </row>
    <row r="813">
      <c r="A813" s="164"/>
      <c r="B813" s="165"/>
      <c r="C813" s="160"/>
      <c r="D813" s="166"/>
      <c r="E813" s="162"/>
    </row>
    <row r="814">
      <c r="A814" s="164"/>
      <c r="B814" s="165"/>
      <c r="C814" s="160"/>
      <c r="D814" s="166"/>
      <c r="E814" s="162"/>
    </row>
    <row r="815">
      <c r="A815" s="164"/>
      <c r="B815" s="165"/>
      <c r="C815" s="160"/>
      <c r="D815" s="166"/>
      <c r="E815" s="162"/>
    </row>
    <row r="816">
      <c r="A816" s="164"/>
      <c r="B816" s="165"/>
      <c r="C816" s="160"/>
      <c r="D816" s="166"/>
      <c r="E816" s="162"/>
    </row>
    <row r="817">
      <c r="A817" s="164"/>
      <c r="B817" s="165"/>
      <c r="C817" s="160"/>
      <c r="D817" s="166"/>
      <c r="E817" s="162"/>
    </row>
    <row r="818">
      <c r="A818" s="164"/>
      <c r="B818" s="165"/>
      <c r="C818" s="160"/>
      <c r="D818" s="166"/>
      <c r="E818" s="162"/>
    </row>
    <row r="819">
      <c r="A819" s="164"/>
      <c r="B819" s="165"/>
      <c r="C819" s="160"/>
      <c r="D819" s="166"/>
      <c r="E819" s="162"/>
    </row>
    <row r="820">
      <c r="A820" s="164"/>
      <c r="B820" s="165"/>
      <c r="C820" s="160"/>
      <c r="D820" s="166"/>
      <c r="E820" s="162"/>
    </row>
    <row r="821">
      <c r="A821" s="164"/>
      <c r="B821" s="165"/>
      <c r="C821" s="160"/>
      <c r="D821" s="166"/>
      <c r="E821" s="162"/>
    </row>
    <row r="822">
      <c r="A822" s="164"/>
      <c r="B822" s="165"/>
      <c r="C822" s="160"/>
      <c r="D822" s="166"/>
      <c r="E822" s="162"/>
    </row>
    <row r="823">
      <c r="A823" s="164"/>
      <c r="B823" s="165"/>
      <c r="C823" s="160"/>
      <c r="D823" s="166"/>
      <c r="E823" s="162"/>
    </row>
    <row r="824">
      <c r="A824" s="164"/>
      <c r="B824" s="165"/>
      <c r="C824" s="160"/>
      <c r="D824" s="166"/>
      <c r="E824" s="162"/>
    </row>
    <row r="825">
      <c r="A825" s="164"/>
      <c r="B825" s="165"/>
      <c r="C825" s="160"/>
      <c r="D825" s="166"/>
      <c r="E825" s="162"/>
    </row>
    <row r="826">
      <c r="A826" s="164"/>
      <c r="B826" s="165"/>
      <c r="C826" s="160"/>
      <c r="D826" s="166"/>
      <c r="E826" s="162"/>
    </row>
    <row r="827">
      <c r="A827" s="164"/>
      <c r="B827" s="165"/>
      <c r="C827" s="160"/>
      <c r="D827" s="166"/>
      <c r="E827" s="162"/>
    </row>
    <row r="828">
      <c r="A828" s="164"/>
      <c r="B828" s="165"/>
      <c r="C828" s="160"/>
      <c r="D828" s="166"/>
      <c r="E828" s="162"/>
    </row>
    <row r="829">
      <c r="A829" s="164"/>
      <c r="B829" s="165"/>
      <c r="C829" s="160"/>
      <c r="D829" s="166"/>
      <c r="E829" s="162"/>
    </row>
    <row r="830">
      <c r="A830" s="164"/>
      <c r="B830" s="165"/>
      <c r="C830" s="160"/>
      <c r="D830" s="166"/>
      <c r="E830" s="162"/>
    </row>
    <row r="831">
      <c r="A831" s="164"/>
      <c r="B831" s="165"/>
      <c r="C831" s="160"/>
      <c r="D831" s="166"/>
      <c r="E831" s="162"/>
    </row>
    <row r="832">
      <c r="A832" s="164"/>
      <c r="B832" s="165"/>
      <c r="C832" s="160"/>
      <c r="D832" s="166"/>
      <c r="E832" s="162"/>
    </row>
    <row r="833">
      <c r="A833" s="164"/>
      <c r="B833" s="165"/>
      <c r="C833" s="160"/>
      <c r="D833" s="166"/>
      <c r="E833" s="162"/>
    </row>
    <row r="834">
      <c r="A834" s="164"/>
      <c r="B834" s="165"/>
      <c r="C834" s="160"/>
      <c r="D834" s="166"/>
      <c r="E834" s="162"/>
    </row>
    <row r="835">
      <c r="A835" s="164"/>
      <c r="B835" s="165"/>
      <c r="C835" s="160"/>
      <c r="D835" s="166"/>
      <c r="E835" s="162"/>
    </row>
    <row r="836">
      <c r="A836" s="164"/>
      <c r="B836" s="165"/>
      <c r="C836" s="160"/>
      <c r="D836" s="166"/>
      <c r="E836" s="162"/>
    </row>
    <row r="837">
      <c r="A837" s="164"/>
      <c r="B837" s="165"/>
      <c r="C837" s="160"/>
      <c r="D837" s="166"/>
      <c r="E837" s="162"/>
    </row>
    <row r="838">
      <c r="A838" s="164"/>
      <c r="B838" s="165"/>
      <c r="C838" s="160"/>
      <c r="D838" s="166"/>
      <c r="E838" s="162"/>
    </row>
    <row r="839">
      <c r="A839" s="164"/>
      <c r="B839" s="165"/>
      <c r="C839" s="160"/>
      <c r="D839" s="166"/>
      <c r="E839" s="162"/>
    </row>
    <row r="840">
      <c r="A840" s="164"/>
      <c r="B840" s="165"/>
      <c r="C840" s="160"/>
      <c r="D840" s="166"/>
      <c r="E840" s="162"/>
    </row>
    <row r="841">
      <c r="A841" s="164"/>
      <c r="B841" s="165"/>
      <c r="C841" s="160"/>
      <c r="D841" s="166"/>
      <c r="E841" s="162"/>
    </row>
    <row r="842">
      <c r="A842" s="164"/>
      <c r="B842" s="165"/>
      <c r="C842" s="160"/>
      <c r="D842" s="166"/>
      <c r="E842" s="162"/>
    </row>
    <row r="843">
      <c r="A843" s="164"/>
      <c r="B843" s="165"/>
      <c r="C843" s="160"/>
      <c r="D843" s="166"/>
      <c r="E843" s="162"/>
    </row>
    <row r="844">
      <c r="A844" s="164"/>
      <c r="B844" s="165"/>
      <c r="C844" s="160"/>
      <c r="D844" s="166"/>
      <c r="E844" s="162"/>
    </row>
    <row r="845">
      <c r="A845" s="164"/>
      <c r="B845" s="165"/>
      <c r="C845" s="160"/>
      <c r="D845" s="166"/>
      <c r="E845" s="162"/>
    </row>
    <row r="846">
      <c r="A846" s="164"/>
      <c r="B846" s="165"/>
      <c r="C846" s="160"/>
      <c r="D846" s="166"/>
      <c r="E846" s="162"/>
    </row>
    <row r="847">
      <c r="A847" s="164"/>
      <c r="B847" s="165"/>
      <c r="C847" s="160"/>
      <c r="D847" s="166"/>
      <c r="E847" s="162"/>
    </row>
    <row r="848">
      <c r="A848" s="164"/>
      <c r="B848" s="165"/>
      <c r="C848" s="160"/>
      <c r="D848" s="166"/>
      <c r="E848" s="162"/>
    </row>
    <row r="849">
      <c r="A849" s="164"/>
      <c r="B849" s="165"/>
      <c r="C849" s="160"/>
      <c r="D849" s="166"/>
      <c r="E849" s="162"/>
    </row>
    <row r="850">
      <c r="A850" s="164"/>
      <c r="B850" s="165"/>
      <c r="C850" s="160"/>
      <c r="D850" s="166"/>
      <c r="E850" s="162"/>
    </row>
    <row r="851">
      <c r="A851" s="164"/>
      <c r="B851" s="165"/>
      <c r="C851" s="160"/>
      <c r="D851" s="166"/>
      <c r="E851" s="162"/>
    </row>
    <row r="852">
      <c r="A852" s="164"/>
      <c r="B852" s="165"/>
      <c r="C852" s="160"/>
      <c r="D852" s="166"/>
      <c r="E852" s="162"/>
    </row>
    <row r="853">
      <c r="A853" s="164"/>
      <c r="B853" s="165"/>
      <c r="C853" s="160"/>
      <c r="D853" s="166"/>
      <c r="E853" s="162"/>
    </row>
    <row r="854">
      <c r="A854" s="164"/>
      <c r="B854" s="165"/>
      <c r="C854" s="160"/>
      <c r="D854" s="166"/>
      <c r="E854" s="162"/>
    </row>
    <row r="855">
      <c r="A855" s="164"/>
      <c r="B855" s="165"/>
      <c r="C855" s="160"/>
      <c r="D855" s="166"/>
      <c r="E855" s="162"/>
    </row>
    <row r="856">
      <c r="A856" s="164"/>
      <c r="B856" s="165"/>
      <c r="C856" s="160"/>
      <c r="D856" s="166"/>
      <c r="E856" s="162"/>
    </row>
    <row r="857">
      <c r="A857" s="164"/>
      <c r="B857" s="165"/>
      <c r="C857" s="160"/>
      <c r="D857" s="166"/>
      <c r="E857" s="162"/>
    </row>
    <row r="858">
      <c r="A858" s="164"/>
      <c r="B858" s="165"/>
      <c r="C858" s="160"/>
      <c r="D858" s="166"/>
      <c r="E858" s="162"/>
    </row>
    <row r="859">
      <c r="A859" s="164"/>
      <c r="B859" s="165"/>
      <c r="C859" s="160"/>
      <c r="D859" s="166"/>
      <c r="E859" s="162"/>
    </row>
    <row r="860">
      <c r="A860" s="164"/>
      <c r="B860" s="165"/>
      <c r="C860" s="160"/>
      <c r="D860" s="166"/>
      <c r="E860" s="162"/>
    </row>
    <row r="861">
      <c r="A861" s="164"/>
      <c r="B861" s="165"/>
      <c r="C861" s="160"/>
      <c r="D861" s="166"/>
      <c r="E861" s="162"/>
    </row>
    <row r="862">
      <c r="A862" s="164"/>
      <c r="B862" s="165"/>
      <c r="C862" s="160"/>
      <c r="D862" s="166"/>
      <c r="E862" s="162"/>
    </row>
    <row r="863">
      <c r="A863" s="164"/>
      <c r="B863" s="165"/>
      <c r="C863" s="160"/>
      <c r="D863" s="166"/>
      <c r="E863" s="162"/>
    </row>
    <row r="864">
      <c r="A864" s="164"/>
      <c r="B864" s="165"/>
      <c r="C864" s="160"/>
      <c r="D864" s="166"/>
      <c r="E864" s="162"/>
    </row>
    <row r="865">
      <c r="A865" s="164"/>
      <c r="B865" s="165"/>
      <c r="C865" s="160"/>
      <c r="D865" s="166"/>
      <c r="E865" s="162"/>
    </row>
    <row r="866">
      <c r="A866" s="164"/>
      <c r="B866" s="165"/>
      <c r="C866" s="160"/>
      <c r="D866" s="166"/>
      <c r="E866" s="162"/>
    </row>
    <row r="867">
      <c r="A867" s="164"/>
      <c r="B867" s="165"/>
      <c r="C867" s="160"/>
      <c r="D867" s="166"/>
      <c r="E867" s="162"/>
    </row>
    <row r="868">
      <c r="A868" s="164"/>
      <c r="B868" s="165"/>
      <c r="C868" s="160"/>
      <c r="D868" s="166"/>
      <c r="E868" s="162"/>
    </row>
    <row r="869">
      <c r="A869" s="164"/>
      <c r="B869" s="165"/>
      <c r="C869" s="160"/>
      <c r="D869" s="166"/>
      <c r="E869" s="162"/>
    </row>
    <row r="870">
      <c r="A870" s="164"/>
      <c r="B870" s="165"/>
      <c r="C870" s="160"/>
      <c r="D870" s="166"/>
      <c r="E870" s="162"/>
    </row>
    <row r="871">
      <c r="A871" s="164"/>
      <c r="B871" s="165"/>
      <c r="C871" s="160"/>
      <c r="D871" s="166"/>
      <c r="E871" s="162"/>
    </row>
    <row r="872">
      <c r="A872" s="164"/>
      <c r="B872" s="165"/>
      <c r="C872" s="160"/>
      <c r="D872" s="166"/>
      <c r="E872" s="162"/>
    </row>
    <row r="873">
      <c r="A873" s="164"/>
      <c r="B873" s="165"/>
      <c r="C873" s="160"/>
      <c r="D873" s="166"/>
      <c r="E873" s="162"/>
    </row>
    <row r="874">
      <c r="A874" s="164"/>
      <c r="B874" s="165"/>
      <c r="C874" s="160"/>
      <c r="D874" s="166"/>
      <c r="E874" s="162"/>
    </row>
    <row r="875">
      <c r="A875" s="164"/>
      <c r="B875" s="165"/>
      <c r="C875" s="160"/>
      <c r="D875" s="166"/>
      <c r="E875" s="162"/>
    </row>
    <row r="876">
      <c r="A876" s="164"/>
      <c r="B876" s="165"/>
      <c r="C876" s="160"/>
      <c r="D876" s="166"/>
      <c r="E876" s="162"/>
    </row>
    <row r="877">
      <c r="A877" s="164"/>
      <c r="B877" s="165"/>
      <c r="C877" s="160"/>
      <c r="D877" s="166"/>
      <c r="E877" s="162"/>
    </row>
    <row r="878">
      <c r="A878" s="164"/>
      <c r="B878" s="165"/>
      <c r="C878" s="160"/>
      <c r="D878" s="166"/>
      <c r="E878" s="162"/>
    </row>
    <row r="879">
      <c r="A879" s="164"/>
      <c r="B879" s="165"/>
      <c r="C879" s="160"/>
      <c r="D879" s="166"/>
      <c r="E879" s="162"/>
    </row>
    <row r="880">
      <c r="A880" s="164"/>
      <c r="B880" s="165"/>
      <c r="C880" s="160"/>
      <c r="D880" s="166"/>
      <c r="E880" s="162"/>
    </row>
    <row r="881">
      <c r="A881" s="164"/>
      <c r="B881" s="165"/>
      <c r="C881" s="160"/>
      <c r="D881" s="166"/>
      <c r="E881" s="162"/>
    </row>
    <row r="882">
      <c r="A882" s="164"/>
      <c r="B882" s="165"/>
      <c r="C882" s="160"/>
      <c r="D882" s="166"/>
      <c r="E882" s="162"/>
    </row>
    <row r="883">
      <c r="A883" s="164"/>
      <c r="B883" s="165"/>
      <c r="C883" s="160"/>
      <c r="D883" s="166"/>
      <c r="E883" s="162"/>
    </row>
    <row r="884">
      <c r="A884" s="164"/>
      <c r="B884" s="165"/>
      <c r="C884" s="160"/>
      <c r="D884" s="166"/>
      <c r="E884" s="162"/>
    </row>
    <row r="885">
      <c r="A885" s="164"/>
      <c r="B885" s="165"/>
      <c r="C885" s="160"/>
      <c r="D885" s="166"/>
      <c r="E885" s="162"/>
    </row>
    <row r="886">
      <c r="A886" s="164"/>
      <c r="B886" s="165"/>
      <c r="C886" s="160"/>
      <c r="D886" s="166"/>
      <c r="E886" s="162"/>
    </row>
    <row r="887">
      <c r="A887" s="164"/>
      <c r="B887" s="165"/>
      <c r="C887" s="160"/>
      <c r="D887" s="166"/>
      <c r="E887" s="162"/>
    </row>
    <row r="888">
      <c r="A888" s="164"/>
      <c r="B888" s="165"/>
      <c r="C888" s="160"/>
      <c r="D888" s="166"/>
      <c r="E888" s="162"/>
    </row>
    <row r="889">
      <c r="A889" s="164"/>
      <c r="B889" s="165"/>
      <c r="C889" s="160"/>
      <c r="D889" s="166"/>
      <c r="E889" s="162"/>
    </row>
    <row r="890">
      <c r="A890" s="164"/>
      <c r="B890" s="165"/>
      <c r="C890" s="160"/>
      <c r="D890" s="166"/>
      <c r="E890" s="162"/>
    </row>
    <row r="891">
      <c r="A891" s="164"/>
      <c r="B891" s="165"/>
      <c r="C891" s="160"/>
      <c r="D891" s="166"/>
      <c r="E891" s="162"/>
    </row>
    <row r="892">
      <c r="A892" s="164"/>
      <c r="B892" s="165"/>
      <c r="C892" s="160"/>
      <c r="D892" s="166"/>
      <c r="E892" s="162"/>
    </row>
    <row r="893">
      <c r="A893" s="164"/>
      <c r="B893" s="165"/>
      <c r="C893" s="160"/>
      <c r="D893" s="166"/>
      <c r="E893" s="162"/>
    </row>
    <row r="894">
      <c r="A894" s="164"/>
      <c r="B894" s="165"/>
      <c r="C894" s="160"/>
      <c r="D894" s="166"/>
      <c r="E894" s="162"/>
    </row>
    <row r="895">
      <c r="A895" s="164"/>
      <c r="B895" s="165"/>
      <c r="C895" s="160"/>
      <c r="D895" s="166"/>
      <c r="E895" s="162"/>
    </row>
    <row r="896">
      <c r="A896" s="164"/>
      <c r="B896" s="165"/>
      <c r="C896" s="160"/>
      <c r="D896" s="166"/>
      <c r="E896" s="162"/>
    </row>
    <row r="897">
      <c r="A897" s="164"/>
      <c r="B897" s="165"/>
      <c r="C897" s="160"/>
      <c r="D897" s="166"/>
      <c r="E897" s="162"/>
    </row>
    <row r="898">
      <c r="A898" s="164"/>
      <c r="B898" s="165"/>
      <c r="C898" s="160"/>
      <c r="D898" s="166"/>
      <c r="E898" s="162"/>
    </row>
    <row r="899">
      <c r="A899" s="164"/>
      <c r="B899" s="165"/>
      <c r="C899" s="160"/>
      <c r="D899" s="166"/>
      <c r="E899" s="162"/>
    </row>
    <row r="900">
      <c r="A900" s="164"/>
      <c r="B900" s="165"/>
      <c r="C900" s="160"/>
      <c r="D900" s="166"/>
      <c r="E900" s="162"/>
    </row>
    <row r="901">
      <c r="A901" s="164"/>
      <c r="B901" s="165"/>
      <c r="C901" s="160"/>
      <c r="D901" s="166"/>
      <c r="E901" s="162"/>
    </row>
    <row r="902">
      <c r="A902" s="164"/>
      <c r="B902" s="165"/>
      <c r="C902" s="160"/>
      <c r="D902" s="166"/>
      <c r="E902" s="162"/>
    </row>
    <row r="903">
      <c r="A903" s="164"/>
      <c r="B903" s="165"/>
      <c r="C903" s="160"/>
      <c r="D903" s="166"/>
      <c r="E903" s="162"/>
    </row>
    <row r="904">
      <c r="A904" s="164"/>
      <c r="B904" s="165"/>
      <c r="C904" s="160"/>
      <c r="D904" s="166"/>
      <c r="E904" s="162"/>
    </row>
    <row r="905">
      <c r="A905" s="164"/>
      <c r="B905" s="165"/>
      <c r="C905" s="160"/>
      <c r="D905" s="166"/>
      <c r="E905" s="162"/>
    </row>
    <row r="906">
      <c r="A906" s="164"/>
      <c r="B906" s="165"/>
      <c r="C906" s="160"/>
      <c r="D906" s="166"/>
      <c r="E906" s="162"/>
    </row>
    <row r="907">
      <c r="A907" s="164"/>
      <c r="B907" s="165"/>
      <c r="C907" s="160"/>
      <c r="D907" s="166"/>
      <c r="E907" s="162"/>
    </row>
    <row r="908">
      <c r="A908" s="164"/>
      <c r="B908" s="165"/>
      <c r="C908" s="160"/>
      <c r="D908" s="166"/>
      <c r="E908" s="162"/>
    </row>
    <row r="909">
      <c r="A909" s="164"/>
      <c r="B909" s="165"/>
      <c r="C909" s="160"/>
      <c r="D909" s="166"/>
      <c r="E909" s="162"/>
    </row>
    <row r="910">
      <c r="A910" s="164"/>
      <c r="B910" s="165"/>
      <c r="C910" s="160"/>
      <c r="D910" s="166"/>
      <c r="E910" s="162"/>
    </row>
    <row r="911">
      <c r="A911" s="164"/>
      <c r="B911" s="165"/>
      <c r="C911" s="160"/>
      <c r="D911" s="166"/>
      <c r="E911" s="162"/>
    </row>
    <row r="912">
      <c r="A912" s="164"/>
      <c r="B912" s="165"/>
      <c r="C912" s="160"/>
      <c r="D912" s="166"/>
      <c r="E912" s="162"/>
    </row>
    <row r="913">
      <c r="A913" s="164"/>
      <c r="B913" s="165"/>
      <c r="C913" s="160"/>
      <c r="D913" s="166"/>
      <c r="E913" s="162"/>
    </row>
    <row r="914">
      <c r="A914" s="164"/>
      <c r="B914" s="165"/>
      <c r="C914" s="160"/>
      <c r="D914" s="166"/>
      <c r="E914" s="162"/>
    </row>
    <row r="915">
      <c r="A915" s="164"/>
      <c r="B915" s="165"/>
      <c r="C915" s="160"/>
      <c r="D915" s="166"/>
      <c r="E915" s="162"/>
    </row>
    <row r="916">
      <c r="A916" s="164"/>
      <c r="B916" s="165"/>
      <c r="C916" s="160"/>
      <c r="D916" s="166"/>
      <c r="E916" s="162"/>
    </row>
    <row r="917">
      <c r="A917" s="164"/>
      <c r="B917" s="165"/>
      <c r="C917" s="160"/>
      <c r="D917" s="166"/>
      <c r="E917" s="162"/>
    </row>
    <row r="918">
      <c r="A918" s="164"/>
      <c r="B918" s="165"/>
      <c r="C918" s="160"/>
      <c r="D918" s="166"/>
      <c r="E918" s="162"/>
    </row>
    <row r="919">
      <c r="A919" s="164"/>
      <c r="B919" s="165"/>
      <c r="C919" s="160"/>
      <c r="D919" s="166"/>
      <c r="E919" s="162"/>
    </row>
    <row r="920">
      <c r="A920" s="164"/>
      <c r="B920" s="165"/>
      <c r="C920" s="160"/>
      <c r="D920" s="166"/>
      <c r="E920" s="162"/>
    </row>
    <row r="921">
      <c r="A921" s="164"/>
      <c r="B921" s="165"/>
      <c r="C921" s="160"/>
      <c r="D921" s="166"/>
      <c r="E921" s="162"/>
    </row>
    <row r="922">
      <c r="A922" s="164"/>
      <c r="B922" s="165"/>
      <c r="C922" s="160"/>
      <c r="D922" s="166"/>
      <c r="E922" s="162"/>
    </row>
    <row r="923">
      <c r="A923" s="164"/>
      <c r="B923" s="165"/>
      <c r="C923" s="160"/>
      <c r="D923" s="166"/>
      <c r="E923" s="162"/>
    </row>
    <row r="924">
      <c r="A924" s="164"/>
      <c r="B924" s="165"/>
      <c r="C924" s="160"/>
      <c r="D924" s="166"/>
      <c r="E924" s="162"/>
    </row>
    <row r="925">
      <c r="A925" s="164"/>
      <c r="B925" s="165"/>
      <c r="C925" s="160"/>
      <c r="D925" s="166"/>
      <c r="E925" s="162"/>
    </row>
    <row r="926">
      <c r="A926" s="164"/>
      <c r="B926" s="165"/>
      <c r="C926" s="160"/>
      <c r="D926" s="166"/>
      <c r="E926" s="162"/>
    </row>
    <row r="927">
      <c r="A927" s="164"/>
      <c r="B927" s="165"/>
      <c r="C927" s="160"/>
      <c r="D927" s="166"/>
      <c r="E927" s="162"/>
    </row>
    <row r="928">
      <c r="A928" s="164"/>
      <c r="B928" s="165"/>
      <c r="C928" s="160"/>
      <c r="D928" s="166"/>
      <c r="E928" s="162"/>
    </row>
    <row r="929">
      <c r="A929" s="164"/>
      <c r="B929" s="165"/>
      <c r="C929" s="160"/>
      <c r="D929" s="166"/>
      <c r="E929" s="162"/>
    </row>
    <row r="930">
      <c r="A930" s="164"/>
      <c r="B930" s="165"/>
      <c r="C930" s="160"/>
      <c r="D930" s="166"/>
      <c r="E930" s="162"/>
    </row>
    <row r="931">
      <c r="A931" s="164"/>
      <c r="B931" s="165"/>
      <c r="C931" s="160"/>
      <c r="D931" s="166"/>
      <c r="E931" s="162"/>
    </row>
    <row r="932">
      <c r="A932" s="164"/>
      <c r="B932" s="165"/>
      <c r="C932" s="160"/>
      <c r="D932" s="166"/>
      <c r="E932" s="162"/>
    </row>
    <row r="933">
      <c r="A933" s="164"/>
      <c r="B933" s="165"/>
      <c r="C933" s="160"/>
      <c r="D933" s="166"/>
      <c r="E933" s="162"/>
    </row>
    <row r="934">
      <c r="A934" s="164"/>
      <c r="B934" s="165"/>
      <c r="C934" s="160"/>
      <c r="D934" s="166"/>
      <c r="E934" s="162"/>
    </row>
    <row r="935">
      <c r="A935" s="164"/>
      <c r="B935" s="165"/>
      <c r="C935" s="160"/>
      <c r="D935" s="166"/>
      <c r="E935" s="162"/>
    </row>
    <row r="936">
      <c r="A936" s="164"/>
      <c r="B936" s="165"/>
      <c r="C936" s="160"/>
      <c r="D936" s="166"/>
      <c r="E936" s="162"/>
    </row>
    <row r="937">
      <c r="A937" s="164"/>
      <c r="B937" s="165"/>
      <c r="C937" s="160"/>
      <c r="D937" s="166"/>
      <c r="E937" s="162"/>
    </row>
    <row r="938">
      <c r="A938" s="164"/>
      <c r="B938" s="165"/>
      <c r="C938" s="160"/>
      <c r="D938" s="166"/>
      <c r="E938" s="162"/>
    </row>
    <row r="939">
      <c r="A939" s="164"/>
      <c r="B939" s="165"/>
      <c r="C939" s="160"/>
      <c r="D939" s="166"/>
      <c r="E939" s="162"/>
    </row>
    <row r="940">
      <c r="A940" s="164"/>
      <c r="B940" s="165"/>
      <c r="C940" s="160"/>
      <c r="D940" s="166"/>
      <c r="E940" s="162"/>
    </row>
    <row r="941">
      <c r="A941" s="164"/>
      <c r="B941" s="165"/>
      <c r="C941" s="160"/>
      <c r="D941" s="166"/>
      <c r="E941" s="162"/>
    </row>
    <row r="942">
      <c r="A942" s="164"/>
      <c r="B942" s="165"/>
      <c r="C942" s="160"/>
      <c r="D942" s="166"/>
      <c r="E942" s="162"/>
    </row>
    <row r="943">
      <c r="A943" s="164"/>
      <c r="B943" s="165"/>
      <c r="C943" s="160"/>
      <c r="D943" s="166"/>
      <c r="E943" s="162"/>
    </row>
    <row r="944">
      <c r="A944" s="164"/>
      <c r="B944" s="165"/>
      <c r="C944" s="160"/>
      <c r="D944" s="166"/>
      <c r="E944" s="162"/>
    </row>
    <row r="945">
      <c r="A945" s="164"/>
      <c r="B945" s="165"/>
      <c r="C945" s="160"/>
      <c r="D945" s="166"/>
      <c r="E945" s="162"/>
    </row>
    <row r="946">
      <c r="A946" s="164"/>
      <c r="B946" s="165"/>
      <c r="C946" s="160"/>
      <c r="D946" s="166"/>
      <c r="E946" s="162"/>
    </row>
    <row r="947">
      <c r="A947" s="164"/>
      <c r="B947" s="165"/>
      <c r="C947" s="160"/>
      <c r="D947" s="166"/>
      <c r="E947" s="162"/>
    </row>
    <row r="948">
      <c r="A948" s="164"/>
      <c r="B948" s="165"/>
      <c r="C948" s="160"/>
      <c r="D948" s="166"/>
      <c r="E948" s="162"/>
    </row>
    <row r="949">
      <c r="A949" s="164"/>
      <c r="B949" s="165"/>
      <c r="C949" s="160"/>
      <c r="D949" s="166"/>
      <c r="E949" s="162"/>
    </row>
    <row r="950">
      <c r="A950" s="164"/>
      <c r="B950" s="165"/>
      <c r="C950" s="160"/>
      <c r="D950" s="166"/>
      <c r="E950" s="162"/>
    </row>
    <row r="951">
      <c r="A951" s="164"/>
      <c r="B951" s="165"/>
      <c r="C951" s="160"/>
      <c r="D951" s="166"/>
      <c r="E951" s="162"/>
    </row>
    <row r="952">
      <c r="A952" s="164"/>
      <c r="B952" s="165"/>
      <c r="C952" s="160"/>
      <c r="D952" s="166"/>
      <c r="E952" s="162"/>
    </row>
    <row r="953">
      <c r="A953" s="164"/>
      <c r="B953" s="165"/>
      <c r="C953" s="160"/>
      <c r="D953" s="166"/>
      <c r="E953" s="162"/>
    </row>
    <row r="954">
      <c r="A954" s="164"/>
      <c r="B954" s="165"/>
      <c r="C954" s="160"/>
      <c r="D954" s="166"/>
      <c r="E954" s="162"/>
    </row>
    <row r="955">
      <c r="A955" s="164"/>
      <c r="B955" s="165"/>
      <c r="C955" s="160"/>
      <c r="D955" s="166"/>
      <c r="E955" s="162"/>
    </row>
    <row r="956">
      <c r="A956" s="164"/>
      <c r="B956" s="165"/>
      <c r="C956" s="160"/>
      <c r="D956" s="166"/>
      <c r="E956" s="162"/>
    </row>
    <row r="957">
      <c r="A957" s="164"/>
      <c r="B957" s="165"/>
      <c r="C957" s="160"/>
      <c r="D957" s="166"/>
      <c r="E957" s="162"/>
    </row>
    <row r="958">
      <c r="A958" s="164"/>
      <c r="B958" s="165"/>
      <c r="C958" s="160"/>
      <c r="D958" s="166"/>
      <c r="E958" s="162"/>
    </row>
    <row r="959">
      <c r="A959" s="164"/>
      <c r="B959" s="165"/>
      <c r="C959" s="160"/>
      <c r="D959" s="166"/>
      <c r="E959" s="162"/>
    </row>
    <row r="960">
      <c r="A960" s="164"/>
      <c r="B960" s="165"/>
      <c r="C960" s="160"/>
      <c r="D960" s="166"/>
      <c r="E960" s="162"/>
    </row>
    <row r="961">
      <c r="A961" s="164"/>
      <c r="B961" s="165"/>
      <c r="C961" s="160"/>
      <c r="D961" s="166"/>
      <c r="E961" s="162"/>
    </row>
    <row r="962">
      <c r="A962" s="164"/>
      <c r="B962" s="165"/>
      <c r="C962" s="160"/>
      <c r="D962" s="166"/>
      <c r="E962" s="162"/>
    </row>
    <row r="963">
      <c r="A963" s="164"/>
      <c r="B963" s="165"/>
      <c r="C963" s="160"/>
      <c r="D963" s="166"/>
      <c r="E963" s="162"/>
    </row>
    <row r="964">
      <c r="A964" s="164"/>
      <c r="B964" s="165"/>
      <c r="C964" s="160"/>
      <c r="D964" s="166"/>
      <c r="E964" s="162"/>
    </row>
    <row r="965">
      <c r="A965" s="164"/>
      <c r="B965" s="165"/>
      <c r="C965" s="160"/>
      <c r="D965" s="166"/>
      <c r="E965" s="162"/>
    </row>
    <row r="966">
      <c r="A966" s="164"/>
      <c r="B966" s="165"/>
      <c r="C966" s="160"/>
      <c r="D966" s="166"/>
      <c r="E966" s="162"/>
    </row>
    <row r="967">
      <c r="A967" s="164"/>
      <c r="B967" s="165"/>
      <c r="C967" s="160"/>
      <c r="D967" s="166"/>
      <c r="E967" s="162"/>
    </row>
    <row r="968">
      <c r="A968" s="164"/>
      <c r="B968" s="165"/>
      <c r="C968" s="160"/>
      <c r="D968" s="166"/>
      <c r="E968" s="162"/>
    </row>
    <row r="969">
      <c r="A969" s="164"/>
      <c r="B969" s="165"/>
      <c r="C969" s="160"/>
      <c r="D969" s="166"/>
      <c r="E969" s="162"/>
    </row>
    <row r="970">
      <c r="A970" s="164"/>
      <c r="B970" s="165"/>
      <c r="C970" s="160"/>
      <c r="D970" s="166"/>
      <c r="E970" s="162"/>
    </row>
    <row r="971">
      <c r="A971" s="164"/>
      <c r="B971" s="165"/>
      <c r="C971" s="160"/>
      <c r="D971" s="166"/>
      <c r="E971" s="162"/>
    </row>
    <row r="972">
      <c r="A972" s="164"/>
      <c r="B972" s="165"/>
      <c r="C972" s="160"/>
      <c r="D972" s="166"/>
      <c r="E972" s="162"/>
    </row>
    <row r="973">
      <c r="A973" s="164"/>
      <c r="B973" s="165"/>
      <c r="C973" s="160"/>
      <c r="D973" s="166"/>
      <c r="E973" s="162"/>
    </row>
    <row r="974">
      <c r="A974" s="164"/>
      <c r="B974" s="165"/>
      <c r="C974" s="160"/>
      <c r="D974" s="166"/>
      <c r="E974" s="162"/>
    </row>
    <row r="975">
      <c r="A975" s="164"/>
      <c r="B975" s="165"/>
      <c r="C975" s="160"/>
      <c r="D975" s="166"/>
      <c r="E975" s="162"/>
    </row>
    <row r="976">
      <c r="A976" s="164"/>
      <c r="B976" s="165"/>
      <c r="C976" s="160"/>
      <c r="D976" s="166"/>
      <c r="E976" s="162"/>
    </row>
    <row r="977">
      <c r="A977" s="164"/>
      <c r="B977" s="165"/>
      <c r="C977" s="160"/>
      <c r="D977" s="166"/>
      <c r="E977" s="162"/>
    </row>
    <row r="978">
      <c r="A978" s="164"/>
      <c r="B978" s="165"/>
      <c r="C978" s="160"/>
      <c r="D978" s="166"/>
      <c r="E978" s="162"/>
    </row>
    <row r="979">
      <c r="A979" s="164"/>
      <c r="B979" s="165"/>
      <c r="C979" s="160"/>
      <c r="D979" s="166"/>
      <c r="E979" s="162"/>
    </row>
    <row r="980">
      <c r="A980" s="164"/>
      <c r="B980" s="165"/>
      <c r="C980" s="160"/>
      <c r="D980" s="166"/>
      <c r="E980" s="162"/>
    </row>
    <row r="981">
      <c r="A981" s="164"/>
      <c r="B981" s="165"/>
      <c r="C981" s="160"/>
      <c r="D981" s="166"/>
      <c r="E981" s="162"/>
    </row>
    <row r="982">
      <c r="A982" s="164"/>
      <c r="B982" s="165"/>
      <c r="C982" s="160"/>
      <c r="D982" s="166"/>
      <c r="E982" s="162"/>
    </row>
    <row r="983">
      <c r="A983" s="164"/>
      <c r="B983" s="165"/>
      <c r="C983" s="160"/>
      <c r="D983" s="166"/>
      <c r="E983" s="162"/>
    </row>
    <row r="984">
      <c r="A984" s="164"/>
      <c r="B984" s="165"/>
      <c r="C984" s="160"/>
      <c r="D984" s="166"/>
      <c r="E984" s="162"/>
    </row>
    <row r="985">
      <c r="A985" s="164"/>
      <c r="B985" s="165"/>
      <c r="C985" s="160"/>
      <c r="D985" s="166"/>
      <c r="E985" s="162"/>
    </row>
    <row r="986">
      <c r="A986" s="164"/>
      <c r="B986" s="165"/>
      <c r="C986" s="160"/>
      <c r="D986" s="166"/>
      <c r="E986" s="162"/>
    </row>
    <row r="987">
      <c r="A987" s="164"/>
      <c r="B987" s="165"/>
      <c r="C987" s="160"/>
      <c r="D987" s="166"/>
      <c r="E987" s="162"/>
    </row>
    <row r="988">
      <c r="A988" s="164"/>
      <c r="B988" s="165"/>
      <c r="C988" s="160"/>
      <c r="D988" s="166"/>
      <c r="E988" s="162"/>
    </row>
    <row r="989">
      <c r="A989" s="164"/>
      <c r="B989" s="165"/>
      <c r="C989" s="160"/>
      <c r="D989" s="166"/>
      <c r="E989" s="162"/>
    </row>
    <row r="990">
      <c r="A990" s="164"/>
      <c r="B990" s="165"/>
      <c r="C990" s="160"/>
      <c r="D990" s="166"/>
      <c r="E990" s="162"/>
    </row>
    <row r="991">
      <c r="A991" s="164"/>
      <c r="B991" s="165"/>
      <c r="C991" s="160"/>
      <c r="D991" s="166"/>
      <c r="E991" s="162"/>
    </row>
    <row r="992">
      <c r="A992" s="164"/>
      <c r="B992" s="165"/>
      <c r="C992" s="160"/>
      <c r="D992" s="166"/>
      <c r="E992" s="162"/>
    </row>
    <row r="993">
      <c r="A993" s="164"/>
      <c r="B993" s="165"/>
      <c r="C993" s="160"/>
      <c r="D993" s="166"/>
      <c r="E993" s="162"/>
    </row>
    <row r="994">
      <c r="A994" s="164"/>
      <c r="B994" s="165"/>
      <c r="C994" s="160"/>
      <c r="D994" s="166"/>
      <c r="E994" s="162"/>
    </row>
    <row r="995">
      <c r="A995" s="164"/>
      <c r="B995" s="165"/>
      <c r="C995" s="160"/>
      <c r="D995" s="166"/>
      <c r="E995" s="162"/>
    </row>
    <row r="996">
      <c r="A996" s="164"/>
      <c r="B996" s="165"/>
      <c r="C996" s="160"/>
      <c r="D996" s="166"/>
      <c r="E996" s="162"/>
    </row>
    <row r="997">
      <c r="A997" s="164"/>
      <c r="B997" s="165"/>
      <c r="C997" s="160"/>
      <c r="D997" s="166"/>
      <c r="E997" s="162"/>
    </row>
    <row r="998">
      <c r="A998" s="164"/>
      <c r="B998" s="165"/>
      <c r="C998" s="160"/>
      <c r="D998" s="166"/>
      <c r="E998" s="162"/>
    </row>
    <row r="999">
      <c r="A999" s="164"/>
      <c r="B999" s="165"/>
      <c r="C999" s="160"/>
      <c r="D999" s="166"/>
      <c r="E999" s="162"/>
    </row>
    <row r="1000">
      <c r="A1000" s="164"/>
      <c r="B1000" s="165"/>
      <c r="C1000" s="160"/>
      <c r="D1000" s="166"/>
      <c r="E1000" s="162"/>
    </row>
    <row r="1001">
      <c r="A1001" s="164"/>
      <c r="B1001" s="165"/>
      <c r="C1001" s="160"/>
      <c r="D1001" s="166"/>
      <c r="E1001" s="162"/>
    </row>
    <row r="1002">
      <c r="A1002" s="164"/>
      <c r="B1002" s="165"/>
      <c r="C1002" s="160"/>
      <c r="D1002" s="166"/>
      <c r="E1002" s="162"/>
    </row>
    <row r="1003">
      <c r="A1003" s="164"/>
      <c r="B1003" s="165"/>
      <c r="C1003" s="160"/>
      <c r="D1003" s="166"/>
      <c r="E1003" s="162"/>
    </row>
    <row r="1004">
      <c r="A1004" s="164"/>
      <c r="B1004" s="165"/>
      <c r="C1004" s="160"/>
      <c r="D1004" s="166"/>
      <c r="E1004" s="162"/>
    </row>
    <row r="1005">
      <c r="A1005" s="164"/>
      <c r="B1005" s="165"/>
      <c r="C1005" s="160"/>
      <c r="D1005" s="166"/>
      <c r="E1005" s="162"/>
    </row>
    <row r="1006">
      <c r="A1006" s="164"/>
      <c r="B1006" s="165"/>
      <c r="C1006" s="160"/>
      <c r="D1006" s="166"/>
      <c r="E1006" s="162"/>
    </row>
    <row r="1007">
      <c r="A1007" s="164"/>
      <c r="B1007" s="165"/>
      <c r="C1007" s="160"/>
      <c r="D1007" s="166"/>
      <c r="E1007" s="162"/>
    </row>
    <row r="1008">
      <c r="A1008" s="164"/>
      <c r="B1008" s="165"/>
      <c r="C1008" s="160"/>
      <c r="D1008" s="166"/>
      <c r="E1008" s="162"/>
    </row>
    <row r="1009">
      <c r="A1009" s="164"/>
      <c r="B1009" s="165"/>
      <c r="C1009" s="160"/>
      <c r="D1009" s="166"/>
      <c r="E1009" s="162"/>
    </row>
    <row r="1010">
      <c r="A1010" s="164"/>
      <c r="B1010" s="165"/>
      <c r="C1010" s="160"/>
      <c r="D1010" s="166"/>
      <c r="E1010" s="162"/>
    </row>
    <row r="1011">
      <c r="A1011" s="164"/>
      <c r="B1011" s="165"/>
      <c r="C1011" s="160"/>
      <c r="D1011" s="166"/>
      <c r="E1011" s="162"/>
    </row>
    <row r="1012">
      <c r="A1012" s="164"/>
      <c r="B1012" s="165"/>
      <c r="C1012" s="160"/>
      <c r="D1012" s="166"/>
      <c r="E1012" s="162"/>
    </row>
    <row r="1013">
      <c r="A1013" s="164"/>
      <c r="B1013" s="165"/>
      <c r="C1013" s="160"/>
      <c r="D1013" s="166"/>
      <c r="E1013" s="162"/>
    </row>
    <row r="1014">
      <c r="A1014" s="164"/>
      <c r="B1014" s="165"/>
      <c r="C1014" s="160"/>
      <c r="D1014" s="166"/>
      <c r="E1014" s="162"/>
    </row>
    <row r="1015">
      <c r="A1015" s="164"/>
      <c r="B1015" s="165"/>
      <c r="C1015" s="160"/>
      <c r="D1015" s="166"/>
      <c r="E1015" s="162"/>
    </row>
    <row r="1016">
      <c r="A1016" s="164"/>
      <c r="B1016" s="165"/>
      <c r="C1016" s="160"/>
      <c r="D1016" s="166"/>
      <c r="E1016" s="162"/>
    </row>
    <row r="1017">
      <c r="A1017" s="164"/>
      <c r="B1017" s="165"/>
      <c r="C1017" s="160"/>
      <c r="D1017" s="166"/>
      <c r="E1017" s="162"/>
    </row>
    <row r="1018">
      <c r="A1018" s="164"/>
      <c r="B1018" s="165"/>
      <c r="C1018" s="160"/>
      <c r="D1018" s="166"/>
      <c r="E1018" s="162"/>
    </row>
    <row r="1019">
      <c r="A1019" s="164"/>
      <c r="B1019" s="165"/>
      <c r="C1019" s="160"/>
      <c r="D1019" s="166"/>
      <c r="E1019" s="162"/>
    </row>
    <row r="1020">
      <c r="A1020" s="164"/>
      <c r="B1020" s="165"/>
      <c r="C1020" s="160"/>
      <c r="D1020" s="166"/>
      <c r="E1020" s="162"/>
    </row>
    <row r="1021">
      <c r="A1021" s="164"/>
      <c r="B1021" s="165"/>
      <c r="C1021" s="160"/>
      <c r="D1021" s="166"/>
      <c r="E1021" s="162"/>
    </row>
    <row r="1022">
      <c r="A1022" s="164"/>
      <c r="B1022" s="165"/>
      <c r="C1022" s="160"/>
      <c r="D1022" s="166"/>
      <c r="E1022" s="162"/>
    </row>
    <row r="1023">
      <c r="A1023" s="164"/>
      <c r="B1023" s="165"/>
      <c r="C1023" s="160"/>
      <c r="D1023" s="166"/>
      <c r="E1023" s="162"/>
    </row>
    <row r="1024">
      <c r="A1024" s="164"/>
      <c r="B1024" s="165"/>
      <c r="C1024" s="160"/>
      <c r="D1024" s="166"/>
      <c r="E1024" s="162"/>
    </row>
    <row r="1025">
      <c r="A1025" s="164"/>
      <c r="B1025" s="165"/>
      <c r="C1025" s="160"/>
      <c r="D1025" s="166"/>
      <c r="E1025" s="162"/>
    </row>
    <row r="1026">
      <c r="A1026" s="164"/>
      <c r="B1026" s="165"/>
      <c r="C1026" s="160"/>
      <c r="D1026" s="166"/>
      <c r="E1026" s="162"/>
    </row>
    <row r="1027">
      <c r="A1027" s="164"/>
      <c r="B1027" s="165"/>
      <c r="C1027" s="160"/>
      <c r="D1027" s="166"/>
      <c r="E1027" s="162"/>
    </row>
    <row r="1028">
      <c r="A1028" s="164"/>
      <c r="B1028" s="165"/>
      <c r="C1028" s="160"/>
      <c r="D1028" s="166"/>
      <c r="E1028" s="162"/>
    </row>
    <row r="1029">
      <c r="A1029" s="164"/>
      <c r="B1029" s="165"/>
      <c r="C1029" s="160"/>
      <c r="D1029" s="166"/>
      <c r="E1029" s="162"/>
    </row>
    <row r="1030">
      <c r="A1030" s="164"/>
      <c r="B1030" s="165"/>
      <c r="C1030" s="160"/>
      <c r="D1030" s="166"/>
      <c r="E1030" s="162"/>
    </row>
    <row r="1031">
      <c r="A1031" s="164"/>
      <c r="B1031" s="165"/>
      <c r="C1031" s="160"/>
      <c r="D1031" s="166"/>
      <c r="E1031" s="162"/>
    </row>
    <row r="1032">
      <c r="A1032" s="164"/>
      <c r="B1032" s="165"/>
      <c r="C1032" s="160"/>
      <c r="D1032" s="166"/>
      <c r="E1032" s="162"/>
    </row>
    <row r="1033">
      <c r="A1033" s="164"/>
      <c r="B1033" s="165"/>
      <c r="C1033" s="160"/>
      <c r="D1033" s="166"/>
      <c r="E1033" s="162"/>
    </row>
    <row r="1034">
      <c r="A1034" s="164"/>
      <c r="B1034" s="165"/>
      <c r="C1034" s="160"/>
      <c r="D1034" s="166"/>
      <c r="E1034" s="162"/>
    </row>
    <row r="1035">
      <c r="A1035" s="164"/>
      <c r="B1035" s="165"/>
      <c r="C1035" s="160"/>
      <c r="D1035" s="166"/>
      <c r="E1035" s="162"/>
    </row>
    <row r="1036">
      <c r="A1036" s="164"/>
      <c r="B1036" s="165"/>
      <c r="C1036" s="160"/>
      <c r="D1036" s="166"/>
      <c r="E1036" s="162"/>
    </row>
    <row r="1037">
      <c r="A1037" s="164"/>
      <c r="B1037" s="165"/>
      <c r="C1037" s="160"/>
      <c r="D1037" s="166"/>
      <c r="E1037" s="162"/>
    </row>
    <row r="1038">
      <c r="A1038" s="164"/>
      <c r="B1038" s="165"/>
      <c r="C1038" s="160"/>
      <c r="D1038" s="166"/>
      <c r="E1038" s="162"/>
    </row>
    <row r="1039">
      <c r="A1039" s="164"/>
      <c r="B1039" s="165"/>
      <c r="C1039" s="160"/>
      <c r="D1039" s="166"/>
      <c r="E1039" s="162"/>
    </row>
    <row r="1040">
      <c r="A1040" s="164"/>
      <c r="B1040" s="165"/>
      <c r="C1040" s="160"/>
      <c r="D1040" s="166"/>
      <c r="E1040" s="162"/>
    </row>
    <row r="1041">
      <c r="A1041" s="164"/>
      <c r="B1041" s="165"/>
      <c r="C1041" s="160"/>
      <c r="D1041" s="166"/>
      <c r="E1041" s="162"/>
    </row>
    <row r="1042">
      <c r="A1042" s="164"/>
      <c r="B1042" s="165"/>
      <c r="C1042" s="160"/>
      <c r="D1042" s="166"/>
      <c r="E1042" s="162"/>
    </row>
    <row r="1043">
      <c r="A1043" s="164"/>
      <c r="B1043" s="165"/>
      <c r="C1043" s="160"/>
      <c r="D1043" s="166"/>
      <c r="E1043" s="162"/>
    </row>
    <row r="1044">
      <c r="A1044" s="164"/>
      <c r="B1044" s="165"/>
      <c r="C1044" s="160"/>
      <c r="D1044" s="166"/>
      <c r="E1044" s="162"/>
    </row>
    <row r="1045">
      <c r="A1045" s="164"/>
      <c r="B1045" s="165"/>
      <c r="C1045" s="160"/>
      <c r="D1045" s="166"/>
      <c r="E1045" s="162"/>
    </row>
    <row r="1046">
      <c r="A1046" s="164"/>
      <c r="B1046" s="165"/>
      <c r="C1046" s="160"/>
      <c r="D1046" s="166"/>
      <c r="E1046" s="162"/>
    </row>
    <row r="1047">
      <c r="A1047" s="164"/>
      <c r="B1047" s="165"/>
      <c r="C1047" s="160"/>
      <c r="D1047" s="166"/>
      <c r="E1047" s="162"/>
    </row>
    <row r="1048">
      <c r="A1048" s="164"/>
      <c r="B1048" s="165"/>
      <c r="C1048" s="160"/>
      <c r="D1048" s="166"/>
      <c r="E1048" s="162"/>
    </row>
    <row r="1049">
      <c r="A1049" s="164"/>
      <c r="B1049" s="165"/>
      <c r="C1049" s="160"/>
      <c r="D1049" s="166"/>
      <c r="E1049" s="162"/>
    </row>
    <row r="1050">
      <c r="A1050" s="164"/>
      <c r="B1050" s="165"/>
      <c r="C1050" s="160"/>
      <c r="D1050" s="166"/>
      <c r="E1050" s="162"/>
    </row>
    <row r="1051">
      <c r="A1051" s="164"/>
      <c r="B1051" s="165"/>
      <c r="C1051" s="160"/>
      <c r="D1051" s="166"/>
      <c r="E1051" s="162"/>
    </row>
    <row r="1052">
      <c r="A1052" s="164"/>
      <c r="B1052" s="165"/>
      <c r="C1052" s="160"/>
      <c r="D1052" s="166"/>
      <c r="E1052" s="162"/>
    </row>
    <row r="1053">
      <c r="A1053" s="164"/>
      <c r="B1053" s="165"/>
      <c r="C1053" s="160"/>
      <c r="D1053" s="166"/>
      <c r="E1053" s="162"/>
    </row>
    <row r="1054">
      <c r="A1054" s="164"/>
      <c r="B1054" s="165"/>
      <c r="C1054" s="160"/>
      <c r="D1054" s="166"/>
      <c r="E1054" s="162"/>
    </row>
    <row r="1055">
      <c r="A1055" s="164"/>
      <c r="B1055" s="165"/>
      <c r="C1055" s="160"/>
      <c r="D1055" s="166"/>
      <c r="E1055" s="162"/>
    </row>
    <row r="1056">
      <c r="A1056" s="164"/>
      <c r="B1056" s="165"/>
      <c r="C1056" s="160"/>
      <c r="D1056" s="166"/>
      <c r="E1056" s="162"/>
    </row>
    <row r="1057">
      <c r="A1057" s="164"/>
      <c r="B1057" s="165"/>
      <c r="C1057" s="160"/>
      <c r="D1057" s="166"/>
      <c r="E1057" s="162"/>
    </row>
    <row r="1058">
      <c r="A1058" s="164"/>
      <c r="B1058" s="165"/>
      <c r="C1058" s="160"/>
      <c r="D1058" s="166"/>
      <c r="E1058" s="162"/>
    </row>
    <row r="1059">
      <c r="A1059" s="164"/>
      <c r="B1059" s="165"/>
      <c r="C1059" s="160"/>
      <c r="D1059" s="166"/>
      <c r="E1059" s="162"/>
    </row>
    <row r="1060">
      <c r="A1060" s="164"/>
      <c r="B1060" s="165"/>
      <c r="C1060" s="160"/>
      <c r="D1060" s="166"/>
      <c r="E1060" s="162"/>
    </row>
    <row r="1061">
      <c r="A1061" s="164"/>
      <c r="B1061" s="165"/>
      <c r="C1061" s="160"/>
      <c r="D1061" s="166"/>
      <c r="E1061" s="162"/>
    </row>
    <row r="1062">
      <c r="A1062" s="164"/>
      <c r="B1062" s="165"/>
      <c r="C1062" s="160"/>
      <c r="D1062" s="166"/>
      <c r="E1062" s="162"/>
    </row>
    <row r="1063">
      <c r="A1063" s="164"/>
      <c r="B1063" s="165"/>
      <c r="C1063" s="160"/>
      <c r="D1063" s="166"/>
      <c r="E1063" s="162"/>
    </row>
    <row r="1064">
      <c r="A1064" s="164"/>
      <c r="B1064" s="165"/>
      <c r="C1064" s="160"/>
      <c r="D1064" s="166"/>
      <c r="E1064" s="162"/>
    </row>
    <row r="1065">
      <c r="A1065" s="164"/>
      <c r="B1065" s="165"/>
      <c r="C1065" s="160"/>
      <c r="D1065" s="166"/>
      <c r="E1065" s="162"/>
    </row>
    <row r="1066">
      <c r="A1066" s="164"/>
      <c r="B1066" s="165"/>
      <c r="C1066" s="160"/>
      <c r="D1066" s="166"/>
      <c r="E1066" s="162"/>
    </row>
    <row r="1067">
      <c r="A1067" s="164"/>
      <c r="B1067" s="165"/>
      <c r="C1067" s="160"/>
      <c r="D1067" s="166"/>
      <c r="E1067" s="162"/>
    </row>
    <row r="1068">
      <c r="A1068" s="164"/>
      <c r="B1068" s="165"/>
      <c r="C1068" s="160"/>
      <c r="D1068" s="166"/>
      <c r="E1068" s="162"/>
    </row>
    <row r="1069">
      <c r="A1069" s="164"/>
      <c r="B1069" s="165"/>
      <c r="C1069" s="160"/>
      <c r="D1069" s="166"/>
      <c r="E1069" s="162"/>
    </row>
    <row r="1070">
      <c r="A1070" s="164"/>
      <c r="B1070" s="165"/>
      <c r="C1070" s="160"/>
      <c r="D1070" s="166"/>
      <c r="E1070" s="162"/>
    </row>
    <row r="1071">
      <c r="A1071" s="164"/>
      <c r="B1071" s="165"/>
      <c r="C1071" s="160"/>
      <c r="D1071" s="166"/>
      <c r="E1071" s="162"/>
    </row>
    <row r="1072">
      <c r="A1072" s="164"/>
      <c r="B1072" s="165"/>
      <c r="C1072" s="160"/>
      <c r="D1072" s="166"/>
      <c r="E1072" s="162"/>
    </row>
    <row r="1073">
      <c r="A1073" s="164"/>
      <c r="B1073" s="165"/>
      <c r="C1073" s="160"/>
      <c r="D1073" s="166"/>
      <c r="E1073" s="162"/>
    </row>
    <row r="1074">
      <c r="A1074" s="164"/>
      <c r="B1074" s="165"/>
      <c r="C1074" s="160"/>
      <c r="D1074" s="166"/>
      <c r="E1074" s="162"/>
    </row>
    <row r="1075">
      <c r="A1075" s="164"/>
      <c r="B1075" s="165"/>
      <c r="C1075" s="160"/>
      <c r="D1075" s="166"/>
      <c r="E1075" s="162"/>
    </row>
    <row r="1076">
      <c r="A1076" s="164"/>
      <c r="B1076" s="165"/>
      <c r="C1076" s="160"/>
      <c r="D1076" s="166"/>
      <c r="E1076" s="162"/>
    </row>
    <row r="1077">
      <c r="A1077" s="164"/>
      <c r="B1077" s="165"/>
      <c r="C1077" s="160"/>
      <c r="D1077" s="166"/>
      <c r="E1077" s="162"/>
    </row>
    <row r="1078">
      <c r="A1078" s="164"/>
      <c r="B1078" s="165"/>
      <c r="C1078" s="160"/>
      <c r="D1078" s="166"/>
      <c r="E1078" s="162"/>
    </row>
    <row r="1079">
      <c r="A1079" s="164"/>
      <c r="B1079" s="165"/>
      <c r="C1079" s="160"/>
      <c r="D1079" s="166"/>
      <c r="E1079" s="162"/>
    </row>
    <row r="1080">
      <c r="A1080" s="164"/>
      <c r="B1080" s="165"/>
      <c r="C1080" s="160"/>
      <c r="D1080" s="166"/>
      <c r="E1080" s="162"/>
    </row>
    <row r="1081">
      <c r="A1081" s="164"/>
      <c r="B1081" s="165"/>
      <c r="C1081" s="160"/>
      <c r="D1081" s="166"/>
      <c r="E1081" s="162"/>
    </row>
    <row r="1082">
      <c r="A1082" s="164"/>
      <c r="B1082" s="165"/>
      <c r="C1082" s="160"/>
      <c r="D1082" s="166"/>
      <c r="E1082" s="162"/>
    </row>
    <row r="1083">
      <c r="A1083" s="164"/>
      <c r="B1083" s="165"/>
      <c r="C1083" s="160"/>
      <c r="D1083" s="166"/>
      <c r="E1083" s="162"/>
    </row>
    <row r="1084">
      <c r="A1084" s="164"/>
      <c r="B1084" s="165"/>
      <c r="C1084" s="160"/>
      <c r="D1084" s="166"/>
      <c r="E1084" s="162"/>
    </row>
    <row r="1085">
      <c r="A1085" s="164"/>
      <c r="B1085" s="165"/>
      <c r="C1085" s="160"/>
      <c r="D1085" s="166"/>
      <c r="E1085" s="162"/>
    </row>
    <row r="1086">
      <c r="A1086" s="164"/>
      <c r="B1086" s="165"/>
      <c r="C1086" s="160"/>
      <c r="D1086" s="166"/>
      <c r="E1086" s="162"/>
    </row>
    <row r="1087">
      <c r="A1087" s="164"/>
      <c r="B1087" s="165"/>
      <c r="C1087" s="160"/>
      <c r="D1087" s="166"/>
      <c r="E1087" s="162"/>
    </row>
    <row r="1088">
      <c r="A1088" s="164"/>
      <c r="B1088" s="165"/>
      <c r="C1088" s="160"/>
      <c r="D1088" s="166"/>
      <c r="E1088" s="162"/>
    </row>
    <row r="1089">
      <c r="A1089" s="164"/>
      <c r="B1089" s="165"/>
      <c r="C1089" s="160"/>
      <c r="D1089" s="166"/>
      <c r="E1089" s="162"/>
    </row>
    <row r="1090">
      <c r="A1090" s="164"/>
      <c r="B1090" s="165"/>
      <c r="C1090" s="160"/>
      <c r="D1090" s="166"/>
      <c r="E1090" s="162"/>
    </row>
    <row r="1091">
      <c r="A1091" s="164"/>
      <c r="B1091" s="165"/>
      <c r="C1091" s="160"/>
      <c r="D1091" s="166"/>
      <c r="E1091" s="162"/>
    </row>
    <row r="1092">
      <c r="A1092" s="164"/>
      <c r="B1092" s="165"/>
      <c r="C1092" s="160"/>
      <c r="D1092" s="166"/>
      <c r="E1092" s="162"/>
    </row>
    <row r="1093">
      <c r="A1093" s="164"/>
      <c r="B1093" s="165"/>
      <c r="C1093" s="160"/>
      <c r="D1093" s="166"/>
      <c r="E1093" s="162"/>
    </row>
    <row r="1094">
      <c r="A1094" s="164"/>
      <c r="B1094" s="165"/>
      <c r="C1094" s="160"/>
      <c r="D1094" s="166"/>
      <c r="E1094" s="162"/>
    </row>
    <row r="1095">
      <c r="A1095" s="164"/>
      <c r="B1095" s="165"/>
      <c r="C1095" s="160"/>
      <c r="D1095" s="166"/>
      <c r="E1095" s="162"/>
    </row>
    <row r="1096">
      <c r="A1096" s="164"/>
      <c r="B1096" s="165"/>
      <c r="C1096" s="160"/>
      <c r="D1096" s="166"/>
      <c r="E1096" s="162"/>
    </row>
    <row r="1097">
      <c r="A1097" s="164"/>
      <c r="B1097" s="165"/>
      <c r="C1097" s="160"/>
      <c r="D1097" s="166"/>
      <c r="E1097" s="162"/>
    </row>
    <row r="1098">
      <c r="A1098" s="164"/>
      <c r="B1098" s="165"/>
      <c r="C1098" s="160"/>
      <c r="D1098" s="166"/>
      <c r="E1098" s="162"/>
    </row>
    <row r="1099">
      <c r="A1099" s="164"/>
      <c r="B1099" s="165"/>
      <c r="C1099" s="160"/>
      <c r="D1099" s="166"/>
      <c r="E1099" s="162"/>
    </row>
    <row r="1100">
      <c r="A1100" s="164"/>
      <c r="B1100" s="165"/>
      <c r="C1100" s="160"/>
      <c r="D1100" s="166"/>
      <c r="E1100" s="162"/>
    </row>
    <row r="1101">
      <c r="A1101" s="164"/>
      <c r="B1101" s="165"/>
      <c r="C1101" s="160"/>
      <c r="D1101" s="166"/>
      <c r="E1101" s="162"/>
    </row>
    <row r="1102">
      <c r="A1102" s="164"/>
      <c r="B1102" s="165"/>
      <c r="C1102" s="160"/>
      <c r="D1102" s="166"/>
      <c r="E1102" s="162"/>
    </row>
    <row r="1103">
      <c r="A1103" s="164"/>
      <c r="B1103" s="165"/>
      <c r="C1103" s="160"/>
      <c r="D1103" s="166"/>
      <c r="E1103" s="162"/>
    </row>
    <row r="1104">
      <c r="A1104" s="164"/>
      <c r="B1104" s="165"/>
      <c r="C1104" s="160"/>
      <c r="D1104" s="166"/>
      <c r="E1104" s="162"/>
    </row>
    <row r="1105">
      <c r="A1105" s="164"/>
      <c r="B1105" s="165"/>
      <c r="C1105" s="160"/>
      <c r="D1105" s="166"/>
      <c r="E1105" s="162"/>
    </row>
    <row r="1106">
      <c r="A1106" s="164"/>
      <c r="B1106" s="165"/>
      <c r="C1106" s="160"/>
      <c r="D1106" s="166"/>
      <c r="E1106" s="162"/>
    </row>
    <row r="1107">
      <c r="A1107" s="164"/>
      <c r="B1107" s="165"/>
      <c r="C1107" s="160"/>
      <c r="D1107" s="166"/>
      <c r="E1107" s="162"/>
    </row>
    <row r="1108">
      <c r="A1108" s="164"/>
      <c r="B1108" s="165"/>
      <c r="C1108" s="160"/>
      <c r="D1108" s="166"/>
      <c r="E1108" s="162"/>
    </row>
    <row r="1109">
      <c r="A1109" s="164"/>
      <c r="B1109" s="165"/>
      <c r="C1109" s="160"/>
      <c r="D1109" s="166"/>
      <c r="E1109" s="162"/>
    </row>
    <row r="1110">
      <c r="A1110" s="164"/>
      <c r="B1110" s="165"/>
      <c r="C1110" s="160"/>
      <c r="D1110" s="166"/>
      <c r="E1110" s="162"/>
    </row>
    <row r="1111">
      <c r="A1111" s="164"/>
      <c r="B1111" s="165"/>
      <c r="C1111" s="160"/>
      <c r="D1111" s="166"/>
      <c r="E1111" s="162"/>
    </row>
    <row r="1112">
      <c r="A1112" s="164"/>
      <c r="B1112" s="165"/>
      <c r="C1112" s="160"/>
      <c r="D1112" s="166"/>
      <c r="E1112" s="162"/>
    </row>
    <row r="1113">
      <c r="A1113" s="164"/>
      <c r="B1113" s="165"/>
      <c r="C1113" s="160"/>
      <c r="D1113" s="166"/>
      <c r="E1113" s="162"/>
    </row>
    <row r="1114">
      <c r="A1114" s="164"/>
      <c r="B1114" s="165"/>
      <c r="C1114" s="160"/>
      <c r="D1114" s="166"/>
      <c r="E1114" s="162"/>
    </row>
    <row r="1115">
      <c r="A1115" s="164"/>
      <c r="B1115" s="165"/>
      <c r="C1115" s="160"/>
      <c r="D1115" s="166"/>
      <c r="E1115" s="162"/>
    </row>
    <row r="1116">
      <c r="A1116" s="164"/>
      <c r="B1116" s="165"/>
      <c r="C1116" s="160"/>
      <c r="D1116" s="166"/>
      <c r="E1116" s="162"/>
    </row>
    <row r="1117">
      <c r="A1117" s="164"/>
      <c r="B1117" s="165"/>
      <c r="C1117" s="160"/>
      <c r="D1117" s="166"/>
      <c r="E1117" s="162"/>
    </row>
    <row r="1118">
      <c r="A1118" s="164"/>
      <c r="B1118" s="165"/>
      <c r="C1118" s="160"/>
      <c r="D1118" s="166"/>
      <c r="E1118" s="162"/>
    </row>
    <row r="1119">
      <c r="A1119" s="164"/>
      <c r="B1119" s="165"/>
      <c r="C1119" s="160"/>
      <c r="D1119" s="166"/>
      <c r="E1119" s="162"/>
    </row>
    <row r="1120">
      <c r="A1120" s="164"/>
      <c r="B1120" s="165"/>
      <c r="C1120" s="160"/>
      <c r="D1120" s="166"/>
      <c r="E1120" s="162"/>
    </row>
    <row r="1121">
      <c r="A1121" s="164"/>
      <c r="B1121" s="165"/>
      <c r="C1121" s="160"/>
      <c r="D1121" s="166"/>
      <c r="E1121" s="162"/>
    </row>
    <row r="1122">
      <c r="A1122" s="164"/>
      <c r="B1122" s="165"/>
      <c r="C1122" s="160"/>
      <c r="D1122" s="166"/>
      <c r="E1122" s="162"/>
    </row>
    <row r="1123">
      <c r="A1123" s="164"/>
      <c r="B1123" s="165"/>
      <c r="C1123" s="160"/>
      <c r="D1123" s="166"/>
      <c r="E1123" s="162"/>
    </row>
    <row r="1124">
      <c r="A1124" s="164"/>
      <c r="B1124" s="165"/>
      <c r="C1124" s="160"/>
      <c r="D1124" s="166"/>
      <c r="E1124" s="162"/>
    </row>
    <row r="1125">
      <c r="A1125" s="164"/>
      <c r="B1125" s="165"/>
      <c r="C1125" s="160"/>
      <c r="D1125" s="166"/>
      <c r="E1125" s="162"/>
    </row>
    <row r="1126">
      <c r="A1126" s="164"/>
      <c r="B1126" s="165"/>
      <c r="C1126" s="160"/>
      <c r="D1126" s="166"/>
      <c r="E1126" s="162"/>
    </row>
    <row r="1127">
      <c r="A1127" s="164"/>
      <c r="B1127" s="165"/>
      <c r="C1127" s="160"/>
      <c r="D1127" s="166"/>
      <c r="E1127" s="162"/>
    </row>
    <row r="1128">
      <c r="A1128" s="164"/>
      <c r="B1128" s="165"/>
      <c r="C1128" s="160"/>
      <c r="D1128" s="166"/>
      <c r="E1128" s="162"/>
    </row>
    <row r="1129">
      <c r="A1129" s="164"/>
      <c r="B1129" s="165"/>
      <c r="C1129" s="160"/>
      <c r="D1129" s="166"/>
      <c r="E1129" s="162"/>
    </row>
    <row r="1130">
      <c r="A1130" s="164"/>
      <c r="B1130" s="165"/>
      <c r="C1130" s="160"/>
      <c r="D1130" s="166"/>
      <c r="E1130" s="162"/>
    </row>
    <row r="1131">
      <c r="A1131" s="164"/>
      <c r="B1131" s="165"/>
      <c r="C1131" s="160"/>
      <c r="D1131" s="166"/>
      <c r="E1131" s="162"/>
    </row>
    <row r="1132">
      <c r="A1132" s="164"/>
      <c r="B1132" s="165"/>
      <c r="C1132" s="160"/>
      <c r="D1132" s="166"/>
      <c r="E1132" s="162"/>
    </row>
    <row r="1133">
      <c r="A1133" s="164"/>
      <c r="B1133" s="165"/>
      <c r="C1133" s="160"/>
      <c r="D1133" s="166"/>
      <c r="E1133" s="162"/>
    </row>
    <row r="1134">
      <c r="A1134" s="164"/>
      <c r="B1134" s="165"/>
      <c r="C1134" s="160"/>
      <c r="D1134" s="166"/>
      <c r="E1134" s="162"/>
    </row>
    <row r="1135">
      <c r="A1135" s="164"/>
      <c r="B1135" s="165"/>
      <c r="C1135" s="160"/>
      <c r="D1135" s="166"/>
      <c r="E1135" s="162"/>
    </row>
    <row r="1136">
      <c r="A1136" s="164"/>
      <c r="B1136" s="165"/>
      <c r="C1136" s="160"/>
      <c r="D1136" s="166"/>
      <c r="E1136" s="162"/>
    </row>
    <row r="1137">
      <c r="A1137" s="164"/>
      <c r="B1137" s="165"/>
      <c r="C1137" s="160"/>
      <c r="D1137" s="166"/>
      <c r="E1137" s="162"/>
    </row>
    <row r="1138">
      <c r="A1138" s="164"/>
      <c r="B1138" s="165"/>
      <c r="C1138" s="160"/>
      <c r="D1138" s="166"/>
      <c r="E1138" s="162"/>
    </row>
    <row r="1139">
      <c r="A1139" s="164"/>
      <c r="B1139" s="165"/>
      <c r="C1139" s="160"/>
      <c r="D1139" s="166"/>
      <c r="E1139" s="162"/>
    </row>
    <row r="1140">
      <c r="A1140" s="164"/>
      <c r="B1140" s="165"/>
      <c r="C1140" s="160"/>
      <c r="D1140" s="166"/>
      <c r="E1140" s="162"/>
    </row>
    <row r="1141">
      <c r="A1141" s="164"/>
      <c r="B1141" s="165"/>
      <c r="C1141" s="160"/>
      <c r="D1141" s="166"/>
      <c r="E1141" s="162"/>
    </row>
    <row r="1142">
      <c r="A1142" s="164"/>
      <c r="B1142" s="165"/>
      <c r="C1142" s="160"/>
      <c r="D1142" s="166"/>
      <c r="E1142" s="162"/>
    </row>
    <row r="1143">
      <c r="A1143" s="164"/>
      <c r="B1143" s="165"/>
      <c r="C1143" s="160"/>
      <c r="D1143" s="166"/>
      <c r="E1143" s="162"/>
    </row>
    <row r="1144">
      <c r="A1144" s="164"/>
      <c r="B1144" s="165"/>
      <c r="C1144" s="160"/>
      <c r="D1144" s="166"/>
      <c r="E1144" s="162"/>
    </row>
    <row r="1145">
      <c r="A1145" s="164"/>
      <c r="B1145" s="165"/>
      <c r="C1145" s="160"/>
      <c r="D1145" s="166"/>
      <c r="E1145" s="162"/>
    </row>
    <row r="1146">
      <c r="A1146" s="164"/>
      <c r="B1146" s="165"/>
      <c r="C1146" s="160"/>
      <c r="D1146" s="166"/>
      <c r="E1146" s="162"/>
    </row>
    <row r="1147">
      <c r="A1147" s="164"/>
      <c r="B1147" s="165"/>
      <c r="C1147" s="160"/>
      <c r="D1147" s="166"/>
      <c r="E1147" s="162"/>
    </row>
    <row r="1148">
      <c r="A1148" s="164"/>
      <c r="B1148" s="165"/>
      <c r="C1148" s="160"/>
      <c r="D1148" s="166"/>
      <c r="E1148" s="162"/>
    </row>
    <row r="1149">
      <c r="A1149" s="164"/>
      <c r="B1149" s="165"/>
      <c r="C1149" s="160"/>
      <c r="D1149" s="166"/>
      <c r="E1149" s="162"/>
    </row>
    <row r="1150">
      <c r="A1150" s="164"/>
      <c r="B1150" s="165"/>
      <c r="C1150" s="160"/>
      <c r="D1150" s="166"/>
      <c r="E1150" s="162"/>
    </row>
    <row r="1151">
      <c r="A1151" s="164"/>
      <c r="B1151" s="165"/>
      <c r="C1151" s="160"/>
      <c r="D1151" s="166"/>
      <c r="E1151" s="162"/>
    </row>
    <row r="1152">
      <c r="A1152" s="164"/>
      <c r="B1152" s="165"/>
      <c r="C1152" s="160"/>
      <c r="D1152" s="166"/>
      <c r="E1152" s="162"/>
    </row>
    <row r="1153">
      <c r="A1153" s="164"/>
      <c r="B1153" s="165"/>
      <c r="C1153" s="160"/>
      <c r="D1153" s="166"/>
      <c r="E1153" s="162"/>
    </row>
    <row r="1154">
      <c r="A1154" s="164"/>
      <c r="B1154" s="165"/>
      <c r="C1154" s="160"/>
      <c r="D1154" s="166"/>
      <c r="E1154" s="162"/>
    </row>
    <row r="1155">
      <c r="A1155" s="164"/>
      <c r="B1155" s="165"/>
      <c r="C1155" s="160"/>
      <c r="D1155" s="166"/>
      <c r="E1155" s="162"/>
    </row>
    <row r="1156">
      <c r="A1156" s="164"/>
      <c r="B1156" s="165"/>
      <c r="C1156" s="160"/>
      <c r="D1156" s="166"/>
      <c r="E1156" s="162"/>
    </row>
    <row r="1157">
      <c r="A1157" s="164"/>
      <c r="B1157" s="165"/>
      <c r="C1157" s="160"/>
      <c r="D1157" s="166"/>
      <c r="E1157" s="162"/>
    </row>
    <row r="1158">
      <c r="A1158" s="164"/>
      <c r="B1158" s="165"/>
      <c r="C1158" s="160"/>
      <c r="D1158" s="166"/>
      <c r="E1158" s="162"/>
    </row>
    <row r="1159">
      <c r="A1159" s="164"/>
      <c r="B1159" s="165"/>
      <c r="C1159" s="160"/>
      <c r="D1159" s="166"/>
      <c r="E1159" s="162"/>
    </row>
    <row r="1160">
      <c r="A1160" s="164"/>
      <c r="B1160" s="165"/>
      <c r="C1160" s="160"/>
      <c r="D1160" s="166"/>
      <c r="E1160" s="162"/>
    </row>
    <row r="1161">
      <c r="A1161" s="164"/>
      <c r="B1161" s="165"/>
      <c r="C1161" s="160"/>
      <c r="D1161" s="166"/>
      <c r="E1161" s="162"/>
    </row>
    <row r="1162">
      <c r="A1162" s="164"/>
      <c r="B1162" s="165"/>
      <c r="C1162" s="160"/>
      <c r="D1162" s="166"/>
      <c r="E1162" s="162"/>
    </row>
    <row r="1163">
      <c r="A1163" s="164"/>
      <c r="B1163" s="165"/>
      <c r="C1163" s="160"/>
      <c r="D1163" s="166"/>
      <c r="E1163" s="162"/>
    </row>
    <row r="1164">
      <c r="A1164" s="164"/>
      <c r="B1164" s="165"/>
      <c r="C1164" s="160"/>
      <c r="D1164" s="166"/>
      <c r="E1164" s="162"/>
    </row>
    <row r="1165">
      <c r="A1165" s="164"/>
      <c r="B1165" s="165"/>
      <c r="C1165" s="160"/>
      <c r="D1165" s="166"/>
      <c r="E1165" s="162"/>
    </row>
    <row r="1166">
      <c r="A1166" s="164"/>
      <c r="B1166" s="165"/>
      <c r="C1166" s="160"/>
      <c r="D1166" s="166"/>
      <c r="E1166" s="162"/>
    </row>
    <row r="1167">
      <c r="A1167" s="164"/>
      <c r="B1167" s="165"/>
      <c r="C1167" s="160"/>
      <c r="D1167" s="166"/>
      <c r="E1167" s="162"/>
    </row>
    <row r="1168">
      <c r="A1168" s="164"/>
      <c r="B1168" s="165"/>
      <c r="C1168" s="160"/>
      <c r="D1168" s="166"/>
      <c r="E1168" s="162"/>
    </row>
    <row r="1169">
      <c r="A1169" s="164"/>
      <c r="B1169" s="165"/>
      <c r="C1169" s="160"/>
      <c r="D1169" s="166"/>
      <c r="E1169" s="162"/>
    </row>
    <row r="1170">
      <c r="A1170" s="164"/>
      <c r="B1170" s="165"/>
      <c r="C1170" s="160"/>
      <c r="D1170" s="166"/>
      <c r="E1170" s="162"/>
    </row>
    <row r="1171">
      <c r="A1171" s="164"/>
      <c r="B1171" s="165"/>
      <c r="C1171" s="160"/>
      <c r="D1171" s="166"/>
      <c r="E1171" s="162"/>
    </row>
    <row r="1172">
      <c r="A1172" s="164"/>
      <c r="B1172" s="165"/>
      <c r="C1172" s="160"/>
      <c r="D1172" s="166"/>
      <c r="E1172" s="162"/>
    </row>
    <row r="1173">
      <c r="A1173" s="164"/>
      <c r="B1173" s="165"/>
      <c r="C1173" s="160"/>
      <c r="D1173" s="166"/>
      <c r="E1173" s="162"/>
    </row>
    <row r="1174">
      <c r="A1174" s="164"/>
      <c r="B1174" s="165"/>
      <c r="C1174" s="160"/>
      <c r="D1174" s="166"/>
      <c r="E1174" s="162"/>
    </row>
    <row r="1175">
      <c r="A1175" s="164"/>
      <c r="B1175" s="165"/>
      <c r="C1175" s="160"/>
      <c r="D1175" s="166"/>
      <c r="E1175" s="162"/>
    </row>
    <row r="1176">
      <c r="A1176" s="164"/>
      <c r="B1176" s="165"/>
      <c r="C1176" s="160"/>
      <c r="D1176" s="166"/>
      <c r="E1176" s="162"/>
    </row>
    <row r="1177">
      <c r="A1177" s="164"/>
      <c r="B1177" s="165"/>
      <c r="C1177" s="160"/>
      <c r="D1177" s="166"/>
      <c r="E1177" s="162"/>
    </row>
    <row r="1178">
      <c r="A1178" s="164"/>
      <c r="B1178" s="165"/>
      <c r="C1178" s="160"/>
      <c r="D1178" s="166"/>
      <c r="E1178" s="162"/>
    </row>
    <row r="1179">
      <c r="A1179" s="164"/>
      <c r="B1179" s="165"/>
      <c r="C1179" s="160"/>
      <c r="D1179" s="166"/>
      <c r="E1179" s="162"/>
    </row>
    <row r="1180">
      <c r="A1180" s="164"/>
      <c r="B1180" s="165"/>
      <c r="C1180" s="160"/>
      <c r="D1180" s="166"/>
      <c r="E1180" s="162"/>
    </row>
    <row r="1181">
      <c r="A1181" s="164"/>
      <c r="B1181" s="165"/>
      <c r="C1181" s="160"/>
      <c r="D1181" s="166"/>
      <c r="E1181" s="162"/>
    </row>
    <row r="1182">
      <c r="A1182" s="164"/>
      <c r="B1182" s="165"/>
      <c r="C1182" s="160"/>
      <c r="D1182" s="166"/>
      <c r="E1182" s="162"/>
    </row>
    <row r="1183">
      <c r="A1183" s="164"/>
      <c r="B1183" s="165"/>
      <c r="C1183" s="160"/>
      <c r="D1183" s="166"/>
      <c r="E1183" s="162"/>
    </row>
    <row r="1184">
      <c r="A1184" s="164"/>
      <c r="B1184" s="165"/>
      <c r="C1184" s="160"/>
      <c r="D1184" s="166"/>
      <c r="E1184" s="162"/>
    </row>
    <row r="1185">
      <c r="A1185" s="164"/>
      <c r="B1185" s="165"/>
      <c r="C1185" s="160"/>
      <c r="D1185" s="166"/>
      <c r="E1185" s="162"/>
    </row>
    <row r="1186">
      <c r="A1186" s="164"/>
      <c r="B1186" s="165"/>
      <c r="C1186" s="160"/>
      <c r="D1186" s="166"/>
      <c r="E1186" s="162"/>
    </row>
    <row r="1187">
      <c r="A1187" s="164"/>
      <c r="B1187" s="165"/>
      <c r="C1187" s="160"/>
      <c r="D1187" s="166"/>
      <c r="E1187" s="162"/>
    </row>
    <row r="1188">
      <c r="A1188" s="164"/>
      <c r="B1188" s="165"/>
      <c r="C1188" s="160"/>
      <c r="D1188" s="166"/>
      <c r="E1188" s="162"/>
    </row>
    <row r="1189">
      <c r="A1189" s="164"/>
      <c r="B1189" s="165"/>
      <c r="C1189" s="160"/>
      <c r="D1189" s="166"/>
      <c r="E1189" s="162"/>
    </row>
    <row r="1190">
      <c r="A1190" s="164"/>
      <c r="B1190" s="165"/>
      <c r="C1190" s="160"/>
      <c r="D1190" s="166"/>
      <c r="E1190" s="162"/>
    </row>
    <row r="1191">
      <c r="A1191" s="164"/>
      <c r="B1191" s="165"/>
      <c r="C1191" s="160"/>
      <c r="D1191" s="166"/>
      <c r="E1191" s="162"/>
    </row>
    <row r="1192">
      <c r="A1192" s="164"/>
      <c r="B1192" s="165"/>
      <c r="C1192" s="160"/>
      <c r="D1192" s="166"/>
      <c r="E1192" s="162"/>
    </row>
    <row r="1193">
      <c r="A1193" s="164"/>
      <c r="B1193" s="165"/>
      <c r="C1193" s="160"/>
      <c r="D1193" s="166"/>
      <c r="E1193" s="162"/>
    </row>
    <row r="1194">
      <c r="A1194" s="164"/>
      <c r="B1194" s="165"/>
      <c r="C1194" s="160"/>
      <c r="D1194" s="166"/>
      <c r="E1194" s="162"/>
    </row>
    <row r="1195">
      <c r="A1195" s="164"/>
      <c r="B1195" s="165"/>
      <c r="C1195" s="160"/>
      <c r="D1195" s="166"/>
      <c r="E1195" s="162"/>
    </row>
    <row r="1196">
      <c r="A1196" s="164"/>
      <c r="B1196" s="165"/>
      <c r="C1196" s="160"/>
      <c r="D1196" s="166"/>
      <c r="E1196" s="162"/>
    </row>
    <row r="1197">
      <c r="A1197" s="164"/>
      <c r="B1197" s="165"/>
      <c r="C1197" s="160"/>
      <c r="D1197" s="166"/>
      <c r="E1197" s="162"/>
    </row>
    <row r="1198">
      <c r="A1198" s="164"/>
      <c r="B1198" s="165"/>
      <c r="C1198" s="160"/>
      <c r="D1198" s="166"/>
      <c r="E1198" s="162"/>
    </row>
    <row r="1199">
      <c r="A1199" s="164"/>
      <c r="B1199" s="165"/>
      <c r="C1199" s="160"/>
      <c r="D1199" s="166"/>
      <c r="E1199" s="162"/>
    </row>
    <row r="1200">
      <c r="A1200" s="164"/>
      <c r="B1200" s="165"/>
      <c r="C1200" s="160"/>
      <c r="D1200" s="166"/>
      <c r="E1200" s="162"/>
    </row>
    <row r="1201">
      <c r="A1201" s="164"/>
      <c r="B1201" s="165"/>
      <c r="C1201" s="160"/>
      <c r="D1201" s="166"/>
      <c r="E1201" s="162"/>
    </row>
    <row r="1202">
      <c r="A1202" s="164"/>
      <c r="B1202" s="165"/>
      <c r="C1202" s="160"/>
      <c r="D1202" s="166"/>
      <c r="E1202" s="162"/>
    </row>
    <row r="1203">
      <c r="A1203" s="164"/>
      <c r="B1203" s="165"/>
      <c r="C1203" s="160"/>
      <c r="D1203" s="166"/>
      <c r="E1203" s="162"/>
    </row>
    <row r="1204">
      <c r="A1204" s="164"/>
      <c r="B1204" s="165"/>
      <c r="C1204" s="160"/>
      <c r="D1204" s="166"/>
      <c r="E1204" s="162"/>
    </row>
    <row r="1205">
      <c r="A1205" s="164"/>
      <c r="B1205" s="165"/>
      <c r="C1205" s="160"/>
      <c r="D1205" s="166"/>
      <c r="E1205" s="162"/>
    </row>
    <row r="1206">
      <c r="A1206" s="164"/>
      <c r="B1206" s="165"/>
      <c r="C1206" s="160"/>
      <c r="D1206" s="166"/>
      <c r="E1206" s="162"/>
    </row>
    <row r="1207">
      <c r="A1207" s="164"/>
      <c r="B1207" s="165"/>
      <c r="C1207" s="160"/>
      <c r="D1207" s="166"/>
      <c r="E1207" s="162"/>
    </row>
    <row r="1208">
      <c r="A1208" s="164"/>
      <c r="B1208" s="165"/>
      <c r="C1208" s="160"/>
      <c r="D1208" s="166"/>
      <c r="E1208" s="162"/>
    </row>
    <row r="1209">
      <c r="A1209" s="164"/>
      <c r="B1209" s="165"/>
      <c r="C1209" s="160"/>
      <c r="D1209" s="166"/>
      <c r="E1209" s="162"/>
    </row>
    <row r="1210">
      <c r="A1210" s="164"/>
      <c r="B1210" s="165"/>
      <c r="C1210" s="160"/>
      <c r="D1210" s="166"/>
      <c r="E1210" s="162"/>
    </row>
    <row r="1211">
      <c r="A1211" s="164"/>
      <c r="B1211" s="165"/>
      <c r="C1211" s="160"/>
      <c r="D1211" s="166"/>
      <c r="E1211" s="162"/>
    </row>
    <row r="1212">
      <c r="A1212" s="164"/>
      <c r="B1212" s="165"/>
      <c r="C1212" s="160"/>
      <c r="D1212" s="166"/>
      <c r="E1212" s="162"/>
    </row>
    <row r="1213">
      <c r="A1213" s="164"/>
      <c r="B1213" s="165"/>
      <c r="C1213" s="160"/>
      <c r="D1213" s="166"/>
      <c r="E1213" s="162"/>
    </row>
    <row r="1214">
      <c r="A1214" s="164"/>
      <c r="B1214" s="165"/>
      <c r="C1214" s="160"/>
      <c r="D1214" s="166"/>
      <c r="E1214" s="162"/>
    </row>
    <row r="1215">
      <c r="A1215" s="164"/>
      <c r="B1215" s="165"/>
      <c r="C1215" s="160"/>
      <c r="D1215" s="166"/>
      <c r="E1215" s="162"/>
    </row>
    <row r="1216">
      <c r="A1216" s="164"/>
      <c r="B1216" s="165"/>
      <c r="C1216" s="160"/>
      <c r="D1216" s="166"/>
      <c r="E1216" s="162"/>
    </row>
    <row r="1217">
      <c r="A1217" s="164"/>
      <c r="B1217" s="165"/>
      <c r="C1217" s="160"/>
      <c r="D1217" s="166"/>
      <c r="E1217" s="162"/>
    </row>
    <row r="1218">
      <c r="A1218" s="164"/>
      <c r="B1218" s="165"/>
      <c r="C1218" s="160"/>
      <c r="D1218" s="166"/>
      <c r="E1218" s="162"/>
    </row>
    <row r="1219">
      <c r="A1219" s="164"/>
      <c r="B1219" s="165"/>
      <c r="C1219" s="160"/>
      <c r="D1219" s="166"/>
      <c r="E1219" s="162"/>
    </row>
    <row r="1220">
      <c r="A1220" s="164"/>
      <c r="B1220" s="165"/>
      <c r="C1220" s="160"/>
      <c r="D1220" s="166"/>
      <c r="E1220" s="162"/>
    </row>
    <row r="1221">
      <c r="A1221" s="164"/>
      <c r="B1221" s="165"/>
      <c r="C1221" s="160"/>
      <c r="D1221" s="166"/>
      <c r="E1221" s="162"/>
    </row>
    <row r="1222">
      <c r="A1222" s="164"/>
      <c r="B1222" s="165"/>
      <c r="C1222" s="160"/>
      <c r="D1222" s="166"/>
      <c r="E1222" s="162"/>
    </row>
    <row r="1223">
      <c r="A1223" s="164"/>
      <c r="B1223" s="165"/>
      <c r="C1223" s="160"/>
      <c r="D1223" s="166"/>
      <c r="E1223" s="162"/>
    </row>
    <row r="1224">
      <c r="A1224" s="164"/>
      <c r="B1224" s="165"/>
      <c r="C1224" s="160"/>
      <c r="D1224" s="166"/>
      <c r="E1224" s="162"/>
    </row>
    <row r="1225">
      <c r="A1225" s="164"/>
      <c r="B1225" s="165"/>
      <c r="C1225" s="160"/>
      <c r="D1225" s="166"/>
      <c r="E1225" s="162"/>
    </row>
    <row r="1226">
      <c r="A1226" s="164"/>
      <c r="B1226" s="165"/>
      <c r="C1226" s="160"/>
      <c r="D1226" s="166"/>
      <c r="E1226" s="162"/>
    </row>
    <row r="1227">
      <c r="A1227" s="164"/>
      <c r="B1227" s="165"/>
      <c r="C1227" s="160"/>
      <c r="D1227" s="166"/>
      <c r="E1227" s="162"/>
    </row>
    <row r="1228">
      <c r="A1228" s="164"/>
      <c r="B1228" s="165"/>
      <c r="C1228" s="160"/>
      <c r="D1228" s="166"/>
      <c r="E1228" s="162"/>
    </row>
    <row r="1229">
      <c r="A1229" s="164"/>
      <c r="B1229" s="165"/>
      <c r="C1229" s="160"/>
      <c r="D1229" s="166"/>
      <c r="E1229" s="162"/>
    </row>
    <row r="1230">
      <c r="A1230" s="164"/>
      <c r="B1230" s="165"/>
      <c r="C1230" s="160"/>
      <c r="D1230" s="166"/>
      <c r="E1230" s="162"/>
    </row>
    <row r="1231">
      <c r="A1231" s="164"/>
      <c r="B1231" s="165"/>
      <c r="C1231" s="160"/>
      <c r="D1231" s="166"/>
      <c r="E1231" s="162"/>
    </row>
    <row r="1232">
      <c r="A1232" s="164"/>
      <c r="B1232" s="165"/>
      <c r="C1232" s="160"/>
      <c r="D1232" s="166"/>
      <c r="E1232" s="162"/>
    </row>
    <row r="1233">
      <c r="A1233" s="164"/>
      <c r="B1233" s="165"/>
      <c r="C1233" s="160"/>
      <c r="D1233" s="166"/>
      <c r="E1233" s="162"/>
    </row>
    <row r="1234">
      <c r="A1234" s="164"/>
      <c r="B1234" s="165"/>
      <c r="C1234" s="160"/>
      <c r="D1234" s="166"/>
      <c r="E1234" s="162"/>
    </row>
    <row r="1235">
      <c r="A1235" s="164"/>
      <c r="B1235" s="165"/>
      <c r="C1235" s="160"/>
      <c r="D1235" s="166"/>
      <c r="E1235" s="162"/>
    </row>
    <row r="1236">
      <c r="A1236" s="164"/>
      <c r="B1236" s="165"/>
      <c r="C1236" s="160"/>
      <c r="D1236" s="166"/>
      <c r="E1236" s="162"/>
    </row>
    <row r="1237">
      <c r="A1237" s="164"/>
      <c r="B1237" s="165"/>
      <c r="C1237" s="160"/>
      <c r="D1237" s="166"/>
      <c r="E1237" s="162"/>
    </row>
    <row r="1238">
      <c r="A1238" s="164"/>
      <c r="B1238" s="165"/>
      <c r="C1238" s="160"/>
      <c r="D1238" s="166"/>
      <c r="E1238" s="162"/>
    </row>
    <row r="1239">
      <c r="A1239" s="164"/>
      <c r="B1239" s="165"/>
      <c r="C1239" s="160"/>
      <c r="D1239" s="166"/>
      <c r="E1239" s="162"/>
    </row>
    <row r="1240">
      <c r="A1240" s="164"/>
      <c r="B1240" s="165"/>
      <c r="C1240" s="160"/>
      <c r="D1240" s="166"/>
      <c r="E1240" s="162"/>
    </row>
    <row r="1241">
      <c r="A1241" s="164"/>
      <c r="B1241" s="165"/>
      <c r="C1241" s="160"/>
      <c r="D1241" s="166"/>
      <c r="E1241" s="162"/>
    </row>
    <row r="1242">
      <c r="A1242" s="164"/>
      <c r="B1242" s="165"/>
      <c r="C1242" s="160"/>
      <c r="D1242" s="166"/>
      <c r="E1242" s="162"/>
    </row>
    <row r="1243">
      <c r="A1243" s="164"/>
      <c r="B1243" s="165"/>
      <c r="C1243" s="160"/>
      <c r="D1243" s="166"/>
      <c r="E1243" s="162"/>
    </row>
    <row r="1244">
      <c r="A1244" s="164"/>
      <c r="B1244" s="165"/>
      <c r="C1244" s="160"/>
      <c r="D1244" s="166"/>
      <c r="E1244" s="162"/>
    </row>
    <row r="1245">
      <c r="A1245" s="164"/>
      <c r="B1245" s="165"/>
      <c r="C1245" s="160"/>
      <c r="D1245" s="166"/>
      <c r="E1245" s="162"/>
    </row>
    <row r="1246">
      <c r="A1246" s="164"/>
      <c r="B1246" s="165"/>
      <c r="C1246" s="160"/>
      <c r="D1246" s="166"/>
      <c r="E1246" s="162"/>
    </row>
    <row r="1247">
      <c r="A1247" s="164"/>
      <c r="B1247" s="165"/>
      <c r="C1247" s="160"/>
      <c r="D1247" s="166"/>
      <c r="E1247" s="162"/>
    </row>
    <row r="1248">
      <c r="A1248" s="164"/>
      <c r="B1248" s="165"/>
      <c r="C1248" s="160"/>
      <c r="D1248" s="166"/>
      <c r="E1248" s="162"/>
    </row>
    <row r="1249">
      <c r="A1249" s="164"/>
      <c r="B1249" s="165"/>
      <c r="C1249" s="160"/>
      <c r="D1249" s="166"/>
      <c r="E1249" s="162"/>
    </row>
    <row r="1250">
      <c r="A1250" s="164"/>
      <c r="B1250" s="165"/>
      <c r="C1250" s="160"/>
      <c r="D1250" s="166"/>
      <c r="E1250" s="162"/>
    </row>
    <row r="1251">
      <c r="A1251" s="164"/>
      <c r="B1251" s="165"/>
      <c r="C1251" s="160"/>
      <c r="D1251" s="166"/>
      <c r="E1251" s="162"/>
    </row>
    <row r="1252">
      <c r="A1252" s="164"/>
      <c r="B1252" s="165"/>
      <c r="C1252" s="160"/>
      <c r="D1252" s="166"/>
      <c r="E1252" s="162"/>
    </row>
    <row r="1253">
      <c r="A1253" s="164"/>
      <c r="B1253" s="165"/>
      <c r="C1253" s="160"/>
      <c r="D1253" s="166"/>
      <c r="E1253" s="162"/>
    </row>
    <row r="1254">
      <c r="A1254" s="164"/>
      <c r="B1254" s="165"/>
      <c r="C1254" s="160"/>
      <c r="D1254" s="166"/>
      <c r="E1254" s="162"/>
    </row>
    <row r="1255">
      <c r="A1255" s="164"/>
      <c r="B1255" s="165"/>
      <c r="C1255" s="160"/>
      <c r="D1255" s="166"/>
      <c r="E1255" s="162"/>
    </row>
    <row r="1256">
      <c r="A1256" s="164"/>
      <c r="B1256" s="165"/>
      <c r="C1256" s="160"/>
      <c r="D1256" s="166"/>
      <c r="E1256" s="162"/>
    </row>
    <row r="1257">
      <c r="A1257" s="164"/>
      <c r="B1257" s="165"/>
      <c r="C1257" s="160"/>
      <c r="D1257" s="166"/>
      <c r="E1257" s="162"/>
    </row>
    <row r="1258">
      <c r="A1258" s="164"/>
      <c r="B1258" s="165"/>
      <c r="C1258" s="160"/>
      <c r="D1258" s="166"/>
      <c r="E1258" s="162"/>
    </row>
    <row r="1259">
      <c r="A1259" s="164"/>
      <c r="B1259" s="165"/>
      <c r="C1259" s="160"/>
      <c r="D1259" s="166"/>
      <c r="E1259" s="162"/>
    </row>
    <row r="1260">
      <c r="A1260" s="164"/>
      <c r="B1260" s="165"/>
      <c r="C1260" s="160"/>
      <c r="D1260" s="166"/>
      <c r="E1260" s="162"/>
    </row>
    <row r="1261">
      <c r="A1261" s="164"/>
      <c r="B1261" s="165"/>
      <c r="C1261" s="160"/>
      <c r="D1261" s="166"/>
      <c r="E1261" s="162"/>
    </row>
    <row r="1262">
      <c r="A1262" s="164"/>
      <c r="B1262" s="165"/>
      <c r="C1262" s="160"/>
      <c r="D1262" s="166"/>
      <c r="E1262" s="162"/>
    </row>
    <row r="1263">
      <c r="A1263" s="164"/>
      <c r="B1263" s="165"/>
      <c r="C1263" s="160"/>
      <c r="D1263" s="166"/>
      <c r="E1263" s="162"/>
    </row>
    <row r="1264">
      <c r="A1264" s="164"/>
      <c r="B1264" s="165"/>
      <c r="C1264" s="160"/>
      <c r="D1264" s="166"/>
      <c r="E1264" s="162"/>
    </row>
    <row r="1265">
      <c r="A1265" s="164"/>
      <c r="B1265" s="165"/>
      <c r="C1265" s="160"/>
      <c r="D1265" s="166"/>
      <c r="E1265" s="162"/>
    </row>
    <row r="1266">
      <c r="A1266" s="164"/>
      <c r="B1266" s="165"/>
      <c r="C1266" s="160"/>
      <c r="D1266" s="166"/>
      <c r="E1266" s="162"/>
    </row>
    <row r="1267">
      <c r="A1267" s="164"/>
      <c r="B1267" s="165"/>
      <c r="C1267" s="160"/>
      <c r="D1267" s="166"/>
      <c r="E1267" s="162"/>
    </row>
    <row r="1268">
      <c r="A1268" s="164"/>
      <c r="B1268" s="165"/>
      <c r="C1268" s="160"/>
      <c r="D1268" s="166"/>
      <c r="E1268" s="162"/>
    </row>
    <row r="1269">
      <c r="A1269" s="164"/>
      <c r="B1269" s="165"/>
      <c r="C1269" s="160"/>
      <c r="D1269" s="166"/>
      <c r="E1269" s="162"/>
    </row>
    <row r="1270">
      <c r="A1270" s="164"/>
      <c r="B1270" s="165"/>
      <c r="C1270" s="160"/>
      <c r="D1270" s="166"/>
      <c r="E1270" s="162"/>
    </row>
    <row r="1271">
      <c r="A1271" s="164"/>
      <c r="B1271" s="165"/>
      <c r="C1271" s="160"/>
      <c r="D1271" s="166"/>
      <c r="E1271" s="162"/>
    </row>
    <row r="1272">
      <c r="A1272" s="164"/>
      <c r="B1272" s="165"/>
      <c r="C1272" s="160"/>
      <c r="D1272" s="166"/>
      <c r="E1272" s="162"/>
    </row>
    <row r="1273">
      <c r="A1273" s="164"/>
      <c r="B1273" s="165"/>
      <c r="C1273" s="160"/>
      <c r="D1273" s="166"/>
      <c r="E1273" s="162"/>
    </row>
    <row r="1274">
      <c r="A1274" s="164"/>
      <c r="B1274" s="165"/>
      <c r="C1274" s="160"/>
      <c r="D1274" s="166"/>
      <c r="E1274" s="162"/>
    </row>
    <row r="1275">
      <c r="A1275" s="164"/>
      <c r="B1275" s="165"/>
      <c r="C1275" s="160"/>
      <c r="D1275" s="166"/>
      <c r="E1275" s="162"/>
    </row>
    <row r="1276">
      <c r="A1276" s="164"/>
      <c r="B1276" s="165"/>
      <c r="C1276" s="160"/>
      <c r="D1276" s="166"/>
      <c r="E1276" s="162"/>
    </row>
    <row r="1277">
      <c r="A1277" s="164"/>
      <c r="B1277" s="165"/>
      <c r="C1277" s="160"/>
      <c r="D1277" s="166"/>
      <c r="E1277" s="162"/>
    </row>
    <row r="1278">
      <c r="A1278" s="164"/>
      <c r="B1278" s="165"/>
      <c r="C1278" s="160"/>
      <c r="D1278" s="166"/>
      <c r="E1278" s="162"/>
    </row>
    <row r="1279">
      <c r="A1279" s="164"/>
      <c r="B1279" s="165"/>
      <c r="C1279" s="160"/>
      <c r="D1279" s="166"/>
      <c r="E1279" s="162"/>
    </row>
    <row r="1280">
      <c r="A1280" s="164"/>
      <c r="B1280" s="165"/>
      <c r="C1280" s="160"/>
      <c r="D1280" s="166"/>
      <c r="E1280" s="162"/>
    </row>
    <row r="1281">
      <c r="A1281" s="164"/>
      <c r="B1281" s="165"/>
      <c r="C1281" s="160"/>
      <c r="D1281" s="166"/>
      <c r="E1281" s="162"/>
    </row>
    <row r="1282">
      <c r="A1282" s="164"/>
      <c r="B1282" s="165"/>
      <c r="C1282" s="160"/>
      <c r="D1282" s="166"/>
      <c r="E1282" s="162"/>
    </row>
    <row r="1283">
      <c r="A1283" s="164"/>
      <c r="B1283" s="165"/>
      <c r="C1283" s="160"/>
      <c r="D1283" s="166"/>
      <c r="E1283" s="162"/>
    </row>
    <row r="1284">
      <c r="A1284" s="164"/>
      <c r="B1284" s="165"/>
      <c r="C1284" s="160"/>
      <c r="D1284" s="166"/>
      <c r="E1284" s="162"/>
    </row>
    <row r="1285">
      <c r="A1285" s="164"/>
      <c r="B1285" s="165"/>
      <c r="C1285" s="160"/>
      <c r="D1285" s="166"/>
      <c r="E1285" s="162"/>
    </row>
    <row r="1286">
      <c r="A1286" s="164"/>
      <c r="B1286" s="165"/>
      <c r="C1286" s="160"/>
      <c r="D1286" s="166"/>
      <c r="E1286" s="162"/>
    </row>
    <row r="1287">
      <c r="A1287" s="164"/>
      <c r="B1287" s="165"/>
      <c r="C1287" s="160"/>
      <c r="D1287" s="166"/>
      <c r="E1287" s="162"/>
    </row>
    <row r="1288">
      <c r="A1288" s="164"/>
      <c r="B1288" s="165"/>
      <c r="C1288" s="160"/>
      <c r="D1288" s="166"/>
      <c r="E1288" s="162"/>
    </row>
    <row r="1289">
      <c r="A1289" s="164"/>
      <c r="B1289" s="165"/>
      <c r="C1289" s="160"/>
      <c r="D1289" s="166"/>
      <c r="E1289" s="162"/>
    </row>
    <row r="1290">
      <c r="A1290" s="164"/>
      <c r="B1290" s="165"/>
      <c r="C1290" s="160"/>
      <c r="D1290" s="166"/>
      <c r="E1290" s="162"/>
    </row>
    <row r="1291">
      <c r="A1291" s="164"/>
      <c r="B1291" s="165"/>
      <c r="C1291" s="160"/>
      <c r="D1291" s="166"/>
      <c r="E1291" s="162"/>
    </row>
    <row r="1292">
      <c r="A1292" s="164"/>
      <c r="B1292" s="165"/>
      <c r="C1292" s="160"/>
      <c r="D1292" s="166"/>
      <c r="E1292" s="162"/>
    </row>
    <row r="1293">
      <c r="A1293" s="164"/>
      <c r="B1293" s="165"/>
      <c r="C1293" s="160"/>
      <c r="D1293" s="166"/>
      <c r="E1293" s="162"/>
    </row>
    <row r="1294">
      <c r="A1294" s="164"/>
      <c r="B1294" s="165"/>
      <c r="C1294" s="160"/>
      <c r="D1294" s="166"/>
      <c r="E1294" s="162"/>
    </row>
    <row r="1295">
      <c r="A1295" s="164"/>
      <c r="B1295" s="165"/>
      <c r="C1295" s="160"/>
      <c r="D1295" s="166"/>
      <c r="E1295" s="162"/>
    </row>
    <row r="1296">
      <c r="A1296" s="164"/>
      <c r="B1296" s="165"/>
      <c r="C1296" s="160"/>
      <c r="D1296" s="166"/>
      <c r="E1296" s="162"/>
    </row>
    <row r="1297">
      <c r="A1297" s="164"/>
      <c r="B1297" s="165"/>
      <c r="C1297" s="160"/>
      <c r="D1297" s="166"/>
      <c r="E1297" s="162"/>
    </row>
    <row r="1298">
      <c r="A1298" s="164"/>
      <c r="B1298" s="165"/>
      <c r="C1298" s="160"/>
      <c r="D1298" s="166"/>
      <c r="E1298" s="162"/>
    </row>
    <row r="1299">
      <c r="A1299" s="164"/>
      <c r="B1299" s="165"/>
      <c r="C1299" s="160"/>
      <c r="D1299" s="166"/>
      <c r="E1299" s="162"/>
    </row>
    <row r="1300">
      <c r="A1300" s="164"/>
      <c r="B1300" s="165"/>
      <c r="C1300" s="160"/>
      <c r="D1300" s="166"/>
      <c r="E1300" s="162"/>
    </row>
    <row r="1301">
      <c r="A1301" s="164"/>
      <c r="B1301" s="165"/>
      <c r="C1301" s="160"/>
      <c r="D1301" s="166"/>
      <c r="E1301" s="162"/>
    </row>
    <row r="1302">
      <c r="A1302" s="164"/>
      <c r="B1302" s="165"/>
      <c r="C1302" s="160"/>
      <c r="D1302" s="166"/>
      <c r="E1302" s="162"/>
    </row>
    <row r="1303">
      <c r="A1303" s="164"/>
      <c r="B1303" s="165"/>
      <c r="C1303" s="160"/>
      <c r="D1303" s="166"/>
      <c r="E1303" s="162"/>
    </row>
    <row r="1304">
      <c r="A1304" s="164"/>
      <c r="B1304" s="165"/>
      <c r="C1304" s="160"/>
      <c r="D1304" s="166"/>
      <c r="E1304" s="162"/>
    </row>
    <row r="1305">
      <c r="A1305" s="164"/>
      <c r="B1305" s="165"/>
      <c r="C1305" s="160"/>
      <c r="D1305" s="166"/>
      <c r="E1305" s="162"/>
    </row>
    <row r="1306">
      <c r="A1306" s="164"/>
      <c r="B1306" s="165"/>
      <c r="C1306" s="160"/>
      <c r="D1306" s="166"/>
      <c r="E1306" s="162"/>
    </row>
    <row r="1307">
      <c r="A1307" s="164"/>
      <c r="B1307" s="165"/>
      <c r="C1307" s="160"/>
      <c r="D1307" s="166"/>
      <c r="E1307" s="162"/>
    </row>
    <row r="1308">
      <c r="A1308" s="164"/>
      <c r="B1308" s="165"/>
      <c r="C1308" s="160"/>
      <c r="D1308" s="166"/>
      <c r="E1308" s="162"/>
    </row>
    <row r="1309">
      <c r="A1309" s="164"/>
      <c r="B1309" s="165"/>
      <c r="C1309" s="160"/>
      <c r="D1309" s="166"/>
      <c r="E1309" s="162"/>
    </row>
    <row r="1310">
      <c r="A1310" s="164"/>
      <c r="B1310" s="165"/>
      <c r="C1310" s="160"/>
      <c r="D1310" s="166"/>
      <c r="E1310" s="162"/>
    </row>
    <row r="1311">
      <c r="A1311" s="164"/>
      <c r="B1311" s="165"/>
      <c r="C1311" s="160"/>
      <c r="D1311" s="166"/>
      <c r="E1311" s="162"/>
    </row>
    <row r="1312">
      <c r="A1312" s="164"/>
      <c r="B1312" s="165"/>
      <c r="C1312" s="160"/>
      <c r="D1312" s="166"/>
      <c r="E1312" s="162"/>
    </row>
    <row r="1313">
      <c r="A1313" s="164"/>
      <c r="B1313" s="165"/>
      <c r="C1313" s="160"/>
      <c r="D1313" s="166"/>
      <c r="E1313" s="162"/>
    </row>
    <row r="1314">
      <c r="A1314" s="164"/>
      <c r="B1314" s="165"/>
      <c r="C1314" s="160"/>
      <c r="D1314" s="166"/>
      <c r="E1314" s="162"/>
    </row>
    <row r="1315">
      <c r="A1315" s="164"/>
      <c r="B1315" s="165"/>
      <c r="C1315" s="160"/>
      <c r="D1315" s="166"/>
      <c r="E1315" s="162"/>
    </row>
    <row r="1316">
      <c r="A1316" s="164"/>
      <c r="B1316" s="165"/>
      <c r="C1316" s="160"/>
      <c r="D1316" s="166"/>
      <c r="E1316" s="162"/>
    </row>
    <row r="1317">
      <c r="A1317" s="164"/>
      <c r="B1317" s="165"/>
      <c r="C1317" s="160"/>
      <c r="D1317" s="166"/>
      <c r="E1317" s="162"/>
    </row>
    <row r="1318">
      <c r="A1318" s="164"/>
      <c r="B1318" s="165"/>
      <c r="C1318" s="160"/>
      <c r="D1318" s="166"/>
      <c r="E1318" s="162"/>
    </row>
    <row r="1319">
      <c r="A1319" s="164"/>
      <c r="B1319" s="165"/>
      <c r="C1319" s="160"/>
      <c r="D1319" s="166"/>
      <c r="E1319" s="162"/>
    </row>
    <row r="1320">
      <c r="A1320" s="164"/>
      <c r="B1320" s="165"/>
      <c r="C1320" s="160"/>
      <c r="D1320" s="166"/>
      <c r="E1320" s="162"/>
    </row>
    <row r="1321">
      <c r="A1321" s="164"/>
      <c r="B1321" s="165"/>
      <c r="C1321" s="160"/>
      <c r="D1321" s="166"/>
      <c r="E1321" s="162"/>
    </row>
    <row r="1322">
      <c r="A1322" s="164"/>
      <c r="B1322" s="165"/>
      <c r="C1322" s="160"/>
      <c r="D1322" s="166"/>
      <c r="E1322" s="162"/>
    </row>
    <row r="1323">
      <c r="A1323" s="164"/>
      <c r="B1323" s="165"/>
      <c r="C1323" s="160"/>
      <c r="D1323" s="166"/>
      <c r="E1323" s="162"/>
    </row>
    <row r="1324">
      <c r="A1324" s="164"/>
      <c r="B1324" s="165"/>
      <c r="C1324" s="160"/>
      <c r="D1324" s="166"/>
      <c r="E1324" s="162"/>
    </row>
    <row r="1325">
      <c r="A1325" s="164"/>
      <c r="B1325" s="165"/>
      <c r="C1325" s="160"/>
      <c r="D1325" s="166"/>
      <c r="E1325" s="162"/>
    </row>
    <row r="1326">
      <c r="A1326" s="164"/>
      <c r="B1326" s="165"/>
      <c r="C1326" s="160"/>
      <c r="D1326" s="166"/>
      <c r="E1326" s="162"/>
    </row>
    <row r="1327">
      <c r="A1327" s="164"/>
      <c r="B1327" s="165"/>
      <c r="C1327" s="160"/>
      <c r="D1327" s="166"/>
      <c r="E1327" s="162"/>
    </row>
    <row r="1328">
      <c r="A1328" s="164"/>
      <c r="B1328" s="165"/>
      <c r="C1328" s="160"/>
      <c r="D1328" s="166"/>
      <c r="E1328" s="162"/>
    </row>
    <row r="1329">
      <c r="A1329" s="164"/>
      <c r="B1329" s="165"/>
      <c r="C1329" s="160"/>
      <c r="D1329" s="166"/>
      <c r="E1329" s="162"/>
    </row>
    <row r="1330">
      <c r="A1330" s="164"/>
      <c r="B1330" s="165"/>
      <c r="C1330" s="160"/>
      <c r="D1330" s="166"/>
      <c r="E1330" s="162"/>
    </row>
    <row r="1331">
      <c r="A1331" s="164"/>
      <c r="B1331" s="165"/>
      <c r="C1331" s="160"/>
      <c r="D1331" s="166"/>
      <c r="E1331" s="162"/>
    </row>
    <row r="1332">
      <c r="A1332" s="164"/>
      <c r="B1332" s="165"/>
      <c r="C1332" s="160"/>
      <c r="D1332" s="166"/>
      <c r="E1332" s="162"/>
    </row>
    <row r="1333">
      <c r="A1333" s="164"/>
      <c r="B1333" s="165"/>
      <c r="C1333" s="160"/>
      <c r="D1333" s="166"/>
      <c r="E1333" s="162"/>
    </row>
    <row r="1334">
      <c r="A1334" s="164"/>
      <c r="B1334" s="165"/>
      <c r="C1334" s="160"/>
      <c r="D1334" s="166"/>
      <c r="E1334" s="162"/>
    </row>
    <row r="1335">
      <c r="A1335" s="164"/>
      <c r="B1335" s="165"/>
      <c r="C1335" s="160"/>
      <c r="D1335" s="166"/>
      <c r="E1335" s="162"/>
    </row>
    <row r="1336">
      <c r="A1336" s="164"/>
      <c r="B1336" s="165"/>
      <c r="C1336" s="160"/>
      <c r="D1336" s="166"/>
      <c r="E1336" s="162"/>
    </row>
    <row r="1337">
      <c r="A1337" s="164"/>
      <c r="B1337" s="165"/>
      <c r="C1337" s="160"/>
      <c r="D1337" s="166"/>
      <c r="E1337" s="162"/>
    </row>
    <row r="1338">
      <c r="A1338" s="164"/>
      <c r="B1338" s="165"/>
      <c r="C1338" s="160"/>
      <c r="D1338" s="166"/>
      <c r="E1338" s="162"/>
    </row>
    <row r="1339">
      <c r="A1339" s="164"/>
      <c r="B1339" s="165"/>
      <c r="C1339" s="160"/>
      <c r="D1339" s="166"/>
      <c r="E1339" s="162"/>
    </row>
    <row r="1340">
      <c r="A1340" s="164"/>
      <c r="B1340" s="165"/>
      <c r="C1340" s="160"/>
      <c r="D1340" s="166"/>
      <c r="E1340" s="162"/>
    </row>
    <row r="1341">
      <c r="A1341" s="164"/>
      <c r="B1341" s="165"/>
      <c r="C1341" s="160"/>
      <c r="D1341" s="166"/>
      <c r="E1341" s="162"/>
    </row>
    <row r="1342">
      <c r="A1342" s="164"/>
      <c r="B1342" s="165"/>
      <c r="C1342" s="160"/>
      <c r="D1342" s="166"/>
      <c r="E1342" s="162"/>
    </row>
    <row r="1343">
      <c r="A1343" s="164"/>
      <c r="B1343" s="165"/>
      <c r="C1343" s="160"/>
      <c r="D1343" s="166"/>
      <c r="E1343" s="162"/>
    </row>
    <row r="1344">
      <c r="A1344" s="164"/>
      <c r="B1344" s="165"/>
      <c r="C1344" s="160"/>
      <c r="D1344" s="166"/>
      <c r="E1344" s="162"/>
    </row>
    <row r="1345">
      <c r="A1345" s="164"/>
      <c r="B1345" s="165"/>
      <c r="C1345" s="160"/>
      <c r="D1345" s="166"/>
      <c r="E1345" s="162"/>
    </row>
    <row r="1346">
      <c r="A1346" s="164"/>
      <c r="B1346" s="165"/>
      <c r="C1346" s="160"/>
      <c r="D1346" s="166"/>
      <c r="E1346" s="162"/>
    </row>
    <row r="1347">
      <c r="A1347" s="164"/>
      <c r="B1347" s="165"/>
      <c r="C1347" s="160"/>
      <c r="D1347" s="166"/>
      <c r="E1347" s="162"/>
    </row>
    <row r="1348">
      <c r="A1348" s="164"/>
      <c r="B1348" s="165"/>
      <c r="C1348" s="160"/>
      <c r="D1348" s="166"/>
      <c r="E1348" s="162"/>
    </row>
    <row r="1349">
      <c r="A1349" s="164"/>
      <c r="B1349" s="165"/>
      <c r="C1349" s="160"/>
      <c r="D1349" s="166"/>
      <c r="E1349" s="162"/>
    </row>
    <row r="1350">
      <c r="A1350" s="164"/>
      <c r="B1350" s="165"/>
      <c r="C1350" s="160"/>
      <c r="D1350" s="166"/>
      <c r="E1350" s="162"/>
    </row>
    <row r="1351">
      <c r="A1351" s="164"/>
      <c r="B1351" s="165"/>
      <c r="C1351" s="160"/>
      <c r="D1351" s="166"/>
      <c r="E1351" s="162"/>
    </row>
    <row r="1352">
      <c r="A1352" s="164"/>
      <c r="B1352" s="165"/>
      <c r="C1352" s="160"/>
      <c r="D1352" s="166"/>
      <c r="E1352" s="162"/>
    </row>
    <row r="1353">
      <c r="A1353" s="164"/>
      <c r="B1353" s="165"/>
      <c r="C1353" s="160"/>
      <c r="D1353" s="166"/>
      <c r="E1353" s="162"/>
    </row>
    <row r="1354">
      <c r="A1354" s="164"/>
      <c r="B1354" s="165"/>
      <c r="C1354" s="160"/>
      <c r="D1354" s="166"/>
      <c r="E1354" s="162"/>
    </row>
    <row r="1355">
      <c r="A1355" s="164"/>
      <c r="B1355" s="165"/>
      <c r="C1355" s="160"/>
      <c r="D1355" s="166"/>
      <c r="E1355" s="162"/>
    </row>
    <row r="1356">
      <c r="A1356" s="164"/>
      <c r="B1356" s="165"/>
      <c r="C1356" s="160"/>
      <c r="D1356" s="166"/>
      <c r="E1356" s="162"/>
    </row>
    <row r="1357">
      <c r="A1357" s="164"/>
      <c r="B1357" s="165"/>
      <c r="C1357" s="160"/>
      <c r="D1357" s="166"/>
      <c r="E1357" s="162"/>
    </row>
    <row r="1358">
      <c r="A1358" s="164"/>
      <c r="B1358" s="165"/>
      <c r="C1358" s="160"/>
      <c r="D1358" s="166"/>
      <c r="E1358" s="162"/>
    </row>
    <row r="1359">
      <c r="A1359" s="164"/>
      <c r="B1359" s="165"/>
      <c r="C1359" s="160"/>
      <c r="D1359" s="166"/>
      <c r="E1359" s="162"/>
    </row>
    <row r="1360">
      <c r="A1360" s="164"/>
      <c r="B1360" s="165"/>
      <c r="C1360" s="160"/>
      <c r="D1360" s="166"/>
      <c r="E1360" s="162"/>
    </row>
    <row r="1361">
      <c r="A1361" s="164"/>
      <c r="B1361" s="165"/>
      <c r="C1361" s="160"/>
      <c r="D1361" s="166"/>
      <c r="E1361" s="162"/>
    </row>
    <row r="1362">
      <c r="A1362" s="164"/>
      <c r="B1362" s="165"/>
      <c r="C1362" s="160"/>
      <c r="D1362" s="166"/>
      <c r="E1362" s="162"/>
    </row>
    <row r="1363">
      <c r="A1363" s="164"/>
      <c r="B1363" s="165"/>
      <c r="C1363" s="160"/>
      <c r="D1363" s="166"/>
      <c r="E1363" s="162"/>
    </row>
    <row r="1364">
      <c r="A1364" s="164"/>
      <c r="B1364" s="165"/>
      <c r="C1364" s="160"/>
      <c r="D1364" s="166"/>
      <c r="E1364" s="162"/>
    </row>
    <row r="1365">
      <c r="A1365" s="164"/>
      <c r="B1365" s="165"/>
      <c r="C1365" s="160"/>
      <c r="D1365" s="166"/>
      <c r="E1365" s="162"/>
    </row>
    <row r="1366">
      <c r="A1366" s="164"/>
      <c r="B1366" s="165"/>
      <c r="C1366" s="160"/>
      <c r="D1366" s="166"/>
      <c r="E1366" s="162"/>
    </row>
    <row r="1367">
      <c r="A1367" s="164"/>
      <c r="B1367" s="165"/>
      <c r="C1367" s="160"/>
      <c r="D1367" s="166"/>
      <c r="E1367" s="162"/>
    </row>
    <row r="1368">
      <c r="A1368" s="164"/>
      <c r="B1368" s="165"/>
      <c r="C1368" s="160"/>
      <c r="D1368" s="166"/>
      <c r="E1368" s="162"/>
    </row>
    <row r="1369">
      <c r="A1369" s="164"/>
      <c r="B1369" s="165"/>
      <c r="C1369" s="160"/>
      <c r="D1369" s="166"/>
      <c r="E1369" s="162"/>
    </row>
    <row r="1370">
      <c r="A1370" s="164"/>
      <c r="B1370" s="165"/>
      <c r="C1370" s="160"/>
      <c r="D1370" s="166"/>
      <c r="E1370" s="162"/>
    </row>
    <row r="1371">
      <c r="A1371" s="164"/>
      <c r="B1371" s="165"/>
      <c r="C1371" s="160"/>
      <c r="D1371" s="166"/>
      <c r="E1371" s="162"/>
    </row>
    <row r="1372">
      <c r="A1372" s="164"/>
      <c r="B1372" s="165"/>
      <c r="C1372" s="160"/>
      <c r="D1372" s="166"/>
      <c r="E1372" s="162"/>
    </row>
    <row r="1373">
      <c r="A1373" s="164"/>
      <c r="B1373" s="165"/>
      <c r="C1373" s="160"/>
      <c r="D1373" s="166"/>
      <c r="E1373" s="162"/>
    </row>
    <row r="1374">
      <c r="A1374" s="164"/>
      <c r="B1374" s="165"/>
      <c r="C1374" s="160"/>
      <c r="D1374" s="166"/>
      <c r="E1374" s="162"/>
    </row>
    <row r="1375">
      <c r="A1375" s="164"/>
      <c r="B1375" s="165"/>
      <c r="C1375" s="160"/>
      <c r="D1375" s="166"/>
      <c r="E1375" s="162"/>
    </row>
    <row r="1376">
      <c r="A1376" s="164"/>
      <c r="B1376" s="165"/>
      <c r="C1376" s="160"/>
      <c r="D1376" s="166"/>
      <c r="E1376" s="162"/>
    </row>
    <row r="1377">
      <c r="A1377" s="164"/>
      <c r="B1377" s="165"/>
      <c r="C1377" s="160"/>
      <c r="D1377" s="166"/>
      <c r="E1377" s="162"/>
    </row>
    <row r="1378">
      <c r="A1378" s="164"/>
      <c r="B1378" s="165"/>
      <c r="C1378" s="160"/>
      <c r="D1378" s="166"/>
      <c r="E1378" s="162"/>
    </row>
    <row r="1379">
      <c r="A1379" s="164"/>
      <c r="B1379" s="165"/>
      <c r="C1379" s="160"/>
      <c r="D1379" s="166"/>
      <c r="E1379" s="162"/>
    </row>
    <row r="1380">
      <c r="A1380" s="164"/>
      <c r="B1380" s="165"/>
      <c r="C1380" s="160"/>
      <c r="D1380" s="166"/>
      <c r="E1380" s="162"/>
    </row>
    <row r="1381">
      <c r="A1381" s="164"/>
      <c r="B1381" s="165"/>
      <c r="C1381" s="160"/>
      <c r="D1381" s="166"/>
      <c r="E1381" s="162"/>
    </row>
    <row r="1382">
      <c r="A1382" s="164"/>
      <c r="B1382" s="165"/>
      <c r="C1382" s="160"/>
      <c r="D1382" s="166"/>
      <c r="E1382" s="162"/>
    </row>
    <row r="1383">
      <c r="A1383" s="164"/>
      <c r="B1383" s="165"/>
      <c r="C1383" s="160"/>
      <c r="D1383" s="166"/>
      <c r="E1383" s="162"/>
    </row>
    <row r="1384">
      <c r="A1384" s="164"/>
      <c r="B1384" s="165"/>
      <c r="C1384" s="160"/>
      <c r="D1384" s="166"/>
      <c r="E1384" s="162"/>
    </row>
    <row r="1385">
      <c r="A1385" s="164"/>
      <c r="B1385" s="165"/>
      <c r="C1385" s="160"/>
      <c r="D1385" s="166"/>
      <c r="E1385" s="162"/>
    </row>
    <row r="1386">
      <c r="A1386" s="164"/>
      <c r="B1386" s="165"/>
      <c r="C1386" s="160"/>
      <c r="D1386" s="166"/>
      <c r="E1386" s="162"/>
    </row>
    <row r="1387">
      <c r="A1387" s="164"/>
      <c r="B1387" s="165"/>
      <c r="C1387" s="160"/>
      <c r="D1387" s="166"/>
      <c r="E1387" s="162"/>
    </row>
    <row r="1388">
      <c r="A1388" s="164"/>
      <c r="B1388" s="165"/>
      <c r="C1388" s="160"/>
      <c r="D1388" s="166"/>
      <c r="E1388" s="162"/>
    </row>
    <row r="1389">
      <c r="A1389" s="164"/>
      <c r="B1389" s="165"/>
      <c r="C1389" s="160"/>
      <c r="D1389" s="166"/>
      <c r="E1389" s="162"/>
    </row>
    <row r="1390">
      <c r="A1390" s="164"/>
      <c r="B1390" s="165"/>
      <c r="C1390" s="160"/>
      <c r="D1390" s="166"/>
      <c r="E1390" s="162"/>
    </row>
    <row r="1391">
      <c r="A1391" s="164"/>
      <c r="B1391" s="165"/>
      <c r="C1391" s="160"/>
      <c r="D1391" s="166"/>
      <c r="E1391" s="162"/>
    </row>
    <row r="1392">
      <c r="A1392" s="164"/>
      <c r="B1392" s="165"/>
      <c r="C1392" s="160"/>
      <c r="D1392" s="166"/>
      <c r="E1392" s="162"/>
    </row>
    <row r="1393">
      <c r="A1393" s="164"/>
      <c r="B1393" s="165"/>
      <c r="C1393" s="160"/>
      <c r="D1393" s="166"/>
      <c r="E1393" s="162"/>
    </row>
    <row r="1394">
      <c r="A1394" s="164"/>
      <c r="B1394" s="165"/>
      <c r="C1394" s="160"/>
      <c r="D1394" s="166"/>
      <c r="E1394" s="162"/>
    </row>
    <row r="1395">
      <c r="A1395" s="164"/>
      <c r="B1395" s="165"/>
      <c r="C1395" s="160"/>
      <c r="D1395" s="166"/>
      <c r="E1395" s="162"/>
    </row>
    <row r="1396">
      <c r="A1396" s="164"/>
      <c r="B1396" s="165"/>
      <c r="C1396" s="160"/>
      <c r="D1396" s="166"/>
      <c r="E1396" s="162"/>
    </row>
    <row r="1397">
      <c r="A1397" s="164"/>
      <c r="B1397" s="165"/>
      <c r="C1397" s="160"/>
      <c r="D1397" s="166"/>
      <c r="E1397" s="162"/>
    </row>
    <row r="1398">
      <c r="A1398" s="164"/>
      <c r="B1398" s="165"/>
      <c r="C1398" s="160"/>
      <c r="D1398" s="166"/>
      <c r="E1398" s="162"/>
    </row>
    <row r="1399">
      <c r="A1399" s="164"/>
      <c r="B1399" s="165"/>
      <c r="C1399" s="160"/>
      <c r="D1399" s="166"/>
      <c r="E1399" s="162"/>
    </row>
    <row r="1400">
      <c r="A1400" s="164"/>
      <c r="B1400" s="165"/>
      <c r="C1400" s="160"/>
      <c r="D1400" s="166"/>
      <c r="E1400" s="162"/>
    </row>
    <row r="1401">
      <c r="A1401" s="164"/>
      <c r="B1401" s="165"/>
      <c r="C1401" s="160"/>
      <c r="D1401" s="166"/>
      <c r="E1401" s="162"/>
    </row>
    <row r="1402">
      <c r="A1402" s="164"/>
      <c r="B1402" s="165"/>
      <c r="C1402" s="160"/>
      <c r="D1402" s="166"/>
      <c r="E1402" s="162"/>
    </row>
    <row r="1403">
      <c r="A1403" s="164"/>
      <c r="B1403" s="165"/>
      <c r="C1403" s="160"/>
      <c r="D1403" s="166"/>
      <c r="E1403" s="162"/>
    </row>
    <row r="1404">
      <c r="A1404" s="164"/>
      <c r="B1404" s="165"/>
      <c r="C1404" s="160"/>
      <c r="D1404" s="166"/>
      <c r="E1404" s="162"/>
    </row>
    <row r="1405">
      <c r="A1405" s="164"/>
      <c r="B1405" s="165"/>
      <c r="C1405" s="160"/>
      <c r="D1405" s="166"/>
      <c r="E1405" s="162"/>
    </row>
    <row r="1406">
      <c r="A1406" s="164"/>
      <c r="B1406" s="165"/>
      <c r="C1406" s="160"/>
      <c r="D1406" s="166"/>
      <c r="E1406" s="162"/>
    </row>
    <row r="1407">
      <c r="A1407" s="164"/>
      <c r="B1407" s="165"/>
      <c r="C1407" s="160"/>
      <c r="D1407" s="166"/>
      <c r="E1407" s="162"/>
    </row>
    <row r="1408">
      <c r="A1408" s="164"/>
      <c r="B1408" s="165"/>
      <c r="C1408" s="160"/>
      <c r="D1408" s="166"/>
      <c r="E1408" s="162"/>
    </row>
    <row r="1409">
      <c r="A1409" s="164"/>
      <c r="B1409" s="165"/>
      <c r="C1409" s="160"/>
      <c r="D1409" s="166"/>
      <c r="E1409" s="162"/>
    </row>
    <row r="1410">
      <c r="A1410" s="164"/>
      <c r="B1410" s="165"/>
      <c r="C1410" s="160"/>
      <c r="D1410" s="166"/>
      <c r="E1410" s="162"/>
    </row>
    <row r="1411">
      <c r="A1411" s="164"/>
      <c r="B1411" s="165"/>
      <c r="C1411" s="160"/>
      <c r="D1411" s="166"/>
      <c r="E1411" s="162"/>
    </row>
    <row r="1412">
      <c r="A1412" s="164"/>
      <c r="B1412" s="165"/>
      <c r="C1412" s="160"/>
      <c r="D1412" s="166"/>
      <c r="E1412" s="162"/>
    </row>
    <row r="1413">
      <c r="A1413" s="164"/>
      <c r="B1413" s="165"/>
      <c r="C1413" s="160"/>
      <c r="D1413" s="166"/>
      <c r="E1413" s="162"/>
    </row>
    <row r="1414">
      <c r="A1414" s="164"/>
      <c r="B1414" s="165"/>
      <c r="C1414" s="160"/>
      <c r="D1414" s="166"/>
      <c r="E1414" s="162"/>
    </row>
    <row r="1415">
      <c r="A1415" s="164"/>
      <c r="B1415" s="165"/>
      <c r="C1415" s="160"/>
      <c r="D1415" s="166"/>
      <c r="E1415" s="162"/>
    </row>
    <row r="1416">
      <c r="A1416" s="164"/>
      <c r="B1416" s="165"/>
      <c r="C1416" s="160"/>
      <c r="D1416" s="166"/>
      <c r="E1416" s="162"/>
    </row>
    <row r="1417">
      <c r="A1417" s="164"/>
      <c r="B1417" s="165"/>
      <c r="C1417" s="160"/>
      <c r="D1417" s="166"/>
      <c r="E1417" s="162"/>
    </row>
    <row r="1418">
      <c r="A1418" s="164"/>
      <c r="B1418" s="165"/>
      <c r="C1418" s="160"/>
      <c r="D1418" s="166"/>
      <c r="E1418" s="162"/>
    </row>
    <row r="1419">
      <c r="A1419" s="164"/>
      <c r="B1419" s="165"/>
      <c r="C1419" s="160"/>
      <c r="D1419" s="166"/>
      <c r="E1419" s="162"/>
    </row>
    <row r="1420">
      <c r="A1420" s="164"/>
      <c r="B1420" s="165"/>
      <c r="C1420" s="160"/>
      <c r="D1420" s="166"/>
      <c r="E1420" s="162"/>
    </row>
    <row r="1421">
      <c r="A1421" s="164"/>
      <c r="B1421" s="165"/>
      <c r="C1421" s="160"/>
      <c r="D1421" s="166"/>
      <c r="E1421" s="162"/>
    </row>
    <row r="1422">
      <c r="A1422" s="164"/>
      <c r="B1422" s="165"/>
      <c r="C1422" s="160"/>
      <c r="D1422" s="166"/>
      <c r="E1422" s="162"/>
    </row>
    <row r="1423">
      <c r="A1423" s="164"/>
      <c r="B1423" s="165"/>
      <c r="C1423" s="160"/>
      <c r="D1423" s="166"/>
      <c r="E1423" s="162"/>
    </row>
    <row r="1424">
      <c r="A1424" s="164"/>
      <c r="B1424" s="165"/>
      <c r="C1424" s="160"/>
      <c r="D1424" s="166"/>
      <c r="E1424" s="162"/>
    </row>
    <row r="1425">
      <c r="A1425" s="164"/>
      <c r="B1425" s="165"/>
      <c r="C1425" s="160"/>
      <c r="D1425" s="166"/>
      <c r="E1425" s="162"/>
    </row>
    <row r="1426">
      <c r="A1426" s="164"/>
      <c r="B1426" s="165"/>
      <c r="C1426" s="160"/>
      <c r="D1426" s="166"/>
      <c r="E1426" s="162"/>
    </row>
    <row r="1427">
      <c r="A1427" s="164"/>
      <c r="B1427" s="165"/>
      <c r="C1427" s="160"/>
      <c r="D1427" s="166"/>
      <c r="E1427" s="162"/>
    </row>
    <row r="1428">
      <c r="A1428" s="164"/>
      <c r="B1428" s="165"/>
      <c r="C1428" s="160"/>
      <c r="D1428" s="166"/>
      <c r="E1428" s="162"/>
    </row>
    <row r="1429">
      <c r="A1429" s="164"/>
      <c r="B1429" s="165"/>
      <c r="C1429" s="160"/>
      <c r="D1429" s="166"/>
      <c r="E1429" s="162"/>
    </row>
    <row r="1430">
      <c r="A1430" s="164"/>
      <c r="B1430" s="165"/>
      <c r="C1430" s="160"/>
      <c r="D1430" s="166"/>
      <c r="E1430" s="162"/>
    </row>
    <row r="1431">
      <c r="A1431" s="164"/>
      <c r="B1431" s="165"/>
      <c r="C1431" s="160"/>
      <c r="D1431" s="166"/>
      <c r="E1431" s="162"/>
    </row>
    <row r="1432">
      <c r="A1432" s="164"/>
      <c r="B1432" s="165"/>
      <c r="C1432" s="160"/>
      <c r="D1432" s="166"/>
      <c r="E1432" s="162"/>
    </row>
    <row r="1433">
      <c r="A1433" s="164"/>
      <c r="B1433" s="165"/>
      <c r="C1433" s="160"/>
      <c r="D1433" s="166"/>
      <c r="E1433" s="162"/>
    </row>
    <row r="1434">
      <c r="A1434" s="164"/>
      <c r="B1434" s="165"/>
      <c r="C1434" s="160"/>
      <c r="D1434" s="166"/>
      <c r="E1434" s="162"/>
    </row>
    <row r="1435">
      <c r="A1435" s="164"/>
      <c r="B1435" s="165"/>
      <c r="C1435" s="160"/>
      <c r="D1435" s="166"/>
      <c r="E1435" s="162"/>
    </row>
    <row r="1436">
      <c r="A1436" s="164"/>
      <c r="B1436" s="165"/>
      <c r="C1436" s="160"/>
      <c r="D1436" s="166"/>
      <c r="E1436" s="162"/>
    </row>
    <row r="1437">
      <c r="A1437" s="164"/>
      <c r="B1437" s="165"/>
      <c r="C1437" s="160"/>
      <c r="D1437" s="166"/>
      <c r="E1437" s="162"/>
    </row>
    <row r="1438">
      <c r="A1438" s="164"/>
      <c r="B1438" s="165"/>
      <c r="C1438" s="160"/>
      <c r="D1438" s="166"/>
      <c r="E1438" s="162"/>
    </row>
    <row r="1439">
      <c r="A1439" s="164"/>
      <c r="B1439" s="165"/>
      <c r="C1439" s="160"/>
      <c r="D1439" s="166"/>
      <c r="E1439" s="162"/>
    </row>
    <row r="1440">
      <c r="A1440" s="164"/>
      <c r="B1440" s="165"/>
      <c r="C1440" s="160"/>
      <c r="D1440" s="166"/>
      <c r="E1440" s="162"/>
    </row>
    <row r="1441">
      <c r="A1441" s="164"/>
      <c r="B1441" s="165"/>
      <c r="C1441" s="160"/>
      <c r="D1441" s="166"/>
      <c r="E1441" s="162"/>
    </row>
    <row r="1442">
      <c r="A1442" s="164"/>
      <c r="B1442" s="165"/>
      <c r="C1442" s="160"/>
      <c r="D1442" s="166"/>
      <c r="E1442" s="162"/>
    </row>
    <row r="1443">
      <c r="A1443" s="164"/>
      <c r="B1443" s="165"/>
      <c r="C1443" s="160"/>
      <c r="D1443" s="166"/>
      <c r="E1443" s="162"/>
    </row>
    <row r="1444">
      <c r="A1444" s="164"/>
      <c r="B1444" s="165"/>
      <c r="C1444" s="160"/>
      <c r="D1444" s="166"/>
      <c r="E1444" s="162"/>
    </row>
    <row r="1445">
      <c r="A1445" s="164"/>
      <c r="B1445" s="165"/>
      <c r="C1445" s="160"/>
      <c r="D1445" s="166"/>
      <c r="E1445" s="162"/>
    </row>
    <row r="1446">
      <c r="A1446" s="164"/>
      <c r="B1446" s="165"/>
      <c r="C1446" s="160"/>
      <c r="D1446" s="166"/>
      <c r="E1446" s="162"/>
    </row>
    <row r="1447">
      <c r="A1447" s="164"/>
      <c r="B1447" s="165"/>
      <c r="C1447" s="160"/>
      <c r="D1447" s="166"/>
      <c r="E1447" s="162"/>
    </row>
    <row r="1448">
      <c r="A1448" s="164"/>
      <c r="B1448" s="165"/>
      <c r="C1448" s="160"/>
      <c r="D1448" s="166"/>
      <c r="E1448" s="162"/>
    </row>
    <row r="1449">
      <c r="A1449" s="164"/>
      <c r="B1449" s="165"/>
      <c r="C1449" s="160"/>
      <c r="D1449" s="166"/>
      <c r="E1449" s="162"/>
    </row>
    <row r="1450">
      <c r="A1450" s="164"/>
      <c r="B1450" s="165"/>
      <c r="C1450" s="160"/>
      <c r="D1450" s="166"/>
      <c r="E1450" s="162"/>
    </row>
    <row r="1451">
      <c r="A1451" s="164"/>
      <c r="B1451" s="165"/>
      <c r="C1451" s="160"/>
      <c r="D1451" s="166"/>
      <c r="E1451" s="162"/>
    </row>
    <row r="1452">
      <c r="A1452" s="164"/>
      <c r="B1452" s="165"/>
      <c r="C1452" s="160"/>
      <c r="D1452" s="166"/>
      <c r="E1452" s="162"/>
    </row>
    <row r="1453">
      <c r="A1453" s="164"/>
      <c r="B1453" s="165"/>
      <c r="C1453" s="160"/>
      <c r="D1453" s="166"/>
      <c r="E1453" s="162"/>
    </row>
    <row r="1454">
      <c r="A1454" s="164"/>
      <c r="B1454" s="165"/>
      <c r="C1454" s="160"/>
      <c r="D1454" s="166"/>
      <c r="E1454" s="162"/>
    </row>
    <row r="1455">
      <c r="A1455" s="164"/>
      <c r="B1455" s="165"/>
      <c r="C1455" s="160"/>
      <c r="D1455" s="166"/>
      <c r="E1455" s="162"/>
    </row>
    <row r="1456">
      <c r="A1456" s="164"/>
      <c r="B1456" s="165"/>
      <c r="C1456" s="160"/>
      <c r="D1456" s="166"/>
      <c r="E1456" s="162"/>
    </row>
    <row r="1457">
      <c r="A1457" s="164"/>
      <c r="B1457" s="165"/>
      <c r="C1457" s="160"/>
      <c r="D1457" s="166"/>
      <c r="E1457" s="162"/>
    </row>
    <row r="1458">
      <c r="A1458" s="164"/>
      <c r="B1458" s="165"/>
      <c r="C1458" s="160"/>
      <c r="D1458" s="166"/>
      <c r="E1458" s="162"/>
    </row>
    <row r="1459">
      <c r="A1459" s="164"/>
      <c r="B1459" s="165"/>
      <c r="C1459" s="160"/>
      <c r="D1459" s="166"/>
      <c r="E1459" s="162"/>
    </row>
    <row r="1460">
      <c r="A1460" s="164"/>
      <c r="B1460" s="165"/>
      <c r="C1460" s="160"/>
      <c r="D1460" s="166"/>
      <c r="E1460" s="162"/>
    </row>
    <row r="1461">
      <c r="A1461" s="164"/>
      <c r="B1461" s="165"/>
      <c r="C1461" s="160"/>
      <c r="D1461" s="166"/>
      <c r="E1461" s="162"/>
    </row>
    <row r="1462">
      <c r="A1462" s="164"/>
      <c r="B1462" s="165"/>
      <c r="C1462" s="160"/>
      <c r="D1462" s="166"/>
      <c r="E1462" s="162"/>
    </row>
    <row r="1463">
      <c r="A1463" s="164"/>
      <c r="B1463" s="165"/>
      <c r="C1463" s="160"/>
      <c r="D1463" s="166"/>
      <c r="E1463" s="162"/>
    </row>
    <row r="1464">
      <c r="A1464" s="164"/>
      <c r="B1464" s="165"/>
      <c r="C1464" s="160"/>
      <c r="D1464" s="166"/>
      <c r="E1464" s="162"/>
    </row>
    <row r="1465">
      <c r="A1465" s="164"/>
      <c r="B1465" s="165"/>
      <c r="C1465" s="160"/>
      <c r="D1465" s="166"/>
      <c r="E1465" s="162"/>
    </row>
    <row r="1466">
      <c r="A1466" s="164"/>
      <c r="B1466" s="165"/>
      <c r="C1466" s="160"/>
      <c r="D1466" s="166"/>
      <c r="E1466" s="162"/>
    </row>
    <row r="1467">
      <c r="A1467" s="164"/>
      <c r="B1467" s="165"/>
      <c r="C1467" s="160"/>
      <c r="D1467" s="166"/>
      <c r="E1467" s="162"/>
    </row>
    <row r="1468">
      <c r="A1468" s="164"/>
      <c r="B1468" s="165"/>
      <c r="C1468" s="160"/>
      <c r="D1468" s="166"/>
      <c r="E1468" s="162"/>
    </row>
    <row r="1469">
      <c r="A1469" s="164"/>
      <c r="B1469" s="165"/>
      <c r="C1469" s="160"/>
      <c r="D1469" s="166"/>
      <c r="E1469" s="162"/>
    </row>
    <row r="1470">
      <c r="A1470" s="164"/>
      <c r="B1470" s="165"/>
      <c r="C1470" s="160"/>
      <c r="D1470" s="166"/>
      <c r="E1470" s="162"/>
    </row>
    <row r="1471">
      <c r="A1471" s="164"/>
      <c r="B1471" s="165"/>
      <c r="C1471" s="160"/>
      <c r="D1471" s="166"/>
      <c r="E1471" s="162"/>
    </row>
    <row r="1472">
      <c r="A1472" s="164"/>
      <c r="B1472" s="165"/>
      <c r="C1472" s="160"/>
      <c r="D1472" s="166"/>
      <c r="E1472" s="162"/>
    </row>
    <row r="1473">
      <c r="A1473" s="164"/>
      <c r="B1473" s="165"/>
      <c r="C1473" s="160"/>
      <c r="D1473" s="166"/>
      <c r="E1473" s="162"/>
    </row>
    <row r="1474">
      <c r="A1474" s="164"/>
      <c r="B1474" s="165"/>
      <c r="C1474" s="160"/>
      <c r="D1474" s="166"/>
      <c r="E1474" s="162"/>
    </row>
    <row r="1475">
      <c r="A1475" s="164"/>
      <c r="B1475" s="165"/>
      <c r="C1475" s="160"/>
      <c r="D1475" s="166"/>
      <c r="E1475" s="162"/>
    </row>
    <row r="1476">
      <c r="A1476" s="164"/>
      <c r="B1476" s="165"/>
      <c r="C1476" s="160"/>
      <c r="D1476" s="166"/>
      <c r="E1476" s="162"/>
    </row>
    <row r="1477">
      <c r="A1477" s="164"/>
      <c r="B1477" s="165"/>
      <c r="C1477" s="160"/>
      <c r="D1477" s="166"/>
      <c r="E1477" s="162"/>
    </row>
    <row r="1478">
      <c r="A1478" s="164"/>
      <c r="B1478" s="165"/>
      <c r="C1478" s="160"/>
      <c r="D1478" s="166"/>
      <c r="E1478" s="162"/>
    </row>
    <row r="1479">
      <c r="A1479" s="164"/>
      <c r="B1479" s="165"/>
      <c r="C1479" s="160"/>
      <c r="D1479" s="166"/>
      <c r="E1479" s="162"/>
    </row>
    <row r="1480">
      <c r="A1480" s="164"/>
      <c r="B1480" s="165"/>
      <c r="C1480" s="160"/>
      <c r="D1480" s="166"/>
      <c r="E1480" s="162"/>
    </row>
    <row r="1481">
      <c r="A1481" s="164"/>
      <c r="B1481" s="165"/>
      <c r="C1481" s="160"/>
      <c r="D1481" s="166"/>
      <c r="E1481" s="162"/>
    </row>
    <row r="1482">
      <c r="A1482" s="164"/>
      <c r="B1482" s="165"/>
      <c r="C1482" s="160"/>
      <c r="D1482" s="166"/>
      <c r="E1482" s="162"/>
    </row>
    <row r="1483">
      <c r="A1483" s="164"/>
      <c r="B1483" s="165"/>
      <c r="C1483" s="160"/>
      <c r="D1483" s="166"/>
      <c r="E1483" s="162"/>
    </row>
    <row r="1484">
      <c r="A1484" s="164"/>
      <c r="B1484" s="165"/>
      <c r="C1484" s="160"/>
      <c r="D1484" s="166"/>
      <c r="E1484" s="162"/>
    </row>
    <row r="1485">
      <c r="A1485" s="164"/>
      <c r="B1485" s="165"/>
      <c r="C1485" s="160"/>
      <c r="D1485" s="166"/>
      <c r="E1485" s="162"/>
    </row>
    <row r="1486">
      <c r="A1486" s="164"/>
      <c r="B1486" s="165"/>
      <c r="C1486" s="160"/>
      <c r="D1486" s="166"/>
      <c r="E1486" s="162"/>
    </row>
    <row r="1487">
      <c r="A1487" s="164"/>
      <c r="B1487" s="165"/>
      <c r="C1487" s="160"/>
      <c r="D1487" s="166"/>
      <c r="E1487" s="162"/>
    </row>
    <row r="1488">
      <c r="A1488" s="164"/>
      <c r="B1488" s="165"/>
      <c r="C1488" s="160"/>
      <c r="D1488" s="166"/>
      <c r="E1488" s="162"/>
    </row>
    <row r="1489">
      <c r="A1489" s="164"/>
      <c r="B1489" s="165"/>
      <c r="C1489" s="160"/>
      <c r="D1489" s="166"/>
      <c r="E1489" s="162"/>
    </row>
    <row r="1490">
      <c r="A1490" s="167"/>
      <c r="B1490" s="168"/>
      <c r="C1490" s="41"/>
      <c r="D1490" s="169"/>
      <c r="E1490" s="162"/>
    </row>
    <row r="1491">
      <c r="A1491" s="167"/>
      <c r="B1491" s="168"/>
      <c r="C1491" s="41"/>
      <c r="D1491" s="169"/>
      <c r="E1491" s="162"/>
    </row>
    <row r="1492">
      <c r="A1492" s="167"/>
      <c r="B1492" s="168"/>
      <c r="C1492" s="41"/>
      <c r="D1492" s="169"/>
      <c r="E1492" s="162"/>
    </row>
    <row r="1493">
      <c r="A1493" s="167"/>
      <c r="B1493" s="168"/>
      <c r="C1493" s="41"/>
      <c r="D1493" s="169"/>
      <c r="E1493" s="162"/>
    </row>
    <row r="1494">
      <c r="A1494" s="41"/>
      <c r="B1494" s="168"/>
      <c r="C1494" s="41"/>
      <c r="D1494" s="41"/>
      <c r="E1494" s="162"/>
    </row>
    <row r="1495">
      <c r="A1495" s="41"/>
      <c r="B1495" s="168"/>
      <c r="C1495" s="41"/>
      <c r="D1495" s="41"/>
      <c r="E1495" s="162"/>
    </row>
    <row r="1496">
      <c r="A1496" s="41"/>
      <c r="B1496" s="168"/>
      <c r="C1496" s="41"/>
      <c r="D1496" s="41"/>
      <c r="E1496" s="162"/>
    </row>
  </sheetData>
  <mergeCells count="73"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A362:E362"/>
    <mergeCell ref="A382:E382"/>
    <mergeCell ref="A399:E399"/>
    <mergeCell ref="A414:E414"/>
    <mergeCell ref="B417:E417"/>
    <mergeCell ref="A418:E418"/>
    <mergeCell ref="A438:E438"/>
    <mergeCell ref="A440:E440"/>
    <mergeCell ref="A446:E446"/>
    <mergeCell ref="A448:E448"/>
    <mergeCell ref="A452:E452"/>
    <mergeCell ref="A458:E458"/>
    <mergeCell ref="A481:E481"/>
    <mergeCell ref="A513:E513"/>
    <mergeCell ref="C20:E20"/>
    <mergeCell ref="C21:E21"/>
    <mergeCell ref="A1:C1"/>
    <mergeCell ref="D1:D2"/>
    <mergeCell ref="A2:C2"/>
    <mergeCell ref="A3:E3"/>
    <mergeCell ref="A4:B22"/>
    <mergeCell ref="C4:E4"/>
    <mergeCell ref="C5:E5"/>
    <mergeCell ref="C22:E22"/>
    <mergeCell ref="C23:E23"/>
    <mergeCell ref="A24:E24"/>
    <mergeCell ref="A65:E65"/>
    <mergeCell ref="A76:E76"/>
    <mergeCell ref="A101:E101"/>
    <mergeCell ref="A110:E110"/>
    <mergeCell ref="A118:E118"/>
    <mergeCell ref="A136:E136"/>
    <mergeCell ref="A144:E144"/>
    <mergeCell ref="A181:E181"/>
    <mergeCell ref="A196:E196"/>
    <mergeCell ref="A203:E203"/>
    <mergeCell ref="A205:E205"/>
    <mergeCell ref="A209:E209"/>
    <mergeCell ref="A217:E217"/>
    <mergeCell ref="A255:E255"/>
    <mergeCell ref="A266:E266"/>
    <mergeCell ref="A271:E271"/>
    <mergeCell ref="A281:E281"/>
    <mergeCell ref="A301:E301"/>
    <mergeCell ref="A312:E312"/>
    <mergeCell ref="A316:E316"/>
    <mergeCell ref="A326:E326"/>
    <mergeCell ref="A340:E340"/>
    <mergeCell ref="A349:E349"/>
    <mergeCell ref="A352:E352"/>
    <mergeCell ref="A356:E356"/>
    <mergeCell ref="A520:E520"/>
    <mergeCell ref="A533:E533"/>
    <mergeCell ref="A538:A542"/>
    <mergeCell ref="B538:E538"/>
    <mergeCell ref="B539:E539"/>
    <mergeCell ref="B540:E540"/>
    <mergeCell ref="B541:E541"/>
    <mergeCell ref="B542:E542"/>
  </mergeCells>
  <hyperlinks>
    <hyperlink r:id="rId1" ref="E1"/>
    <hyperlink r:id="rId2" ref="A2"/>
    <hyperlink r:id="rId3" ref="E26"/>
    <hyperlink r:id="rId4" ref="E27"/>
    <hyperlink r:id="rId5" ref="E28"/>
    <hyperlink r:id="rId6" ref="E29"/>
    <hyperlink r:id="rId7" ref="E32"/>
    <hyperlink r:id="rId8" ref="E33"/>
    <hyperlink r:id="rId9" ref="E34"/>
    <hyperlink r:id="rId10" ref="E35"/>
    <hyperlink r:id="rId11" ref="E36"/>
    <hyperlink r:id="rId12" ref="E38"/>
    <hyperlink r:id="rId13" ref="E39"/>
    <hyperlink r:id="rId14" ref="E40"/>
    <hyperlink r:id="rId15" ref="E41"/>
    <hyperlink r:id="rId16" ref="E42"/>
    <hyperlink r:id="rId17" ref="E45"/>
    <hyperlink r:id="rId18" ref="E46"/>
    <hyperlink r:id="rId19" ref="E47"/>
    <hyperlink r:id="rId20" ref="E48"/>
    <hyperlink r:id="rId21" ref="E49"/>
    <hyperlink r:id="rId22" ref="E50"/>
    <hyperlink r:id="rId23" ref="E52"/>
    <hyperlink r:id="rId24" ref="E54"/>
    <hyperlink r:id="rId25" ref="E55"/>
    <hyperlink r:id="rId26" ref="E56"/>
    <hyperlink r:id="rId27" ref="E58"/>
    <hyperlink r:id="rId28" ref="E59"/>
    <hyperlink r:id="rId29" ref="E60"/>
    <hyperlink r:id="rId30" ref="E61"/>
    <hyperlink r:id="rId31" ref="E62"/>
    <hyperlink r:id="rId32" ref="E63"/>
    <hyperlink r:id="rId33" ref="E64"/>
    <hyperlink r:id="rId34" ref="E77"/>
    <hyperlink r:id="rId35" ref="E78"/>
    <hyperlink r:id="rId36" ref="E79"/>
    <hyperlink r:id="rId37" ref="E80"/>
    <hyperlink r:id="rId38" ref="E81"/>
    <hyperlink r:id="rId39" ref="E82"/>
    <hyperlink r:id="rId40" ref="E83"/>
    <hyperlink r:id="rId41" ref="E84"/>
    <hyperlink r:id="rId42" ref="E85"/>
    <hyperlink r:id="rId43" ref="E86"/>
    <hyperlink r:id="rId44" ref="E87"/>
    <hyperlink r:id="rId45" ref="E88"/>
    <hyperlink r:id="rId46" ref="E89"/>
    <hyperlink r:id="rId47" ref="E90"/>
    <hyperlink r:id="rId48" ref="E91"/>
    <hyperlink r:id="rId49" ref="E92"/>
    <hyperlink r:id="rId50" ref="E93"/>
    <hyperlink r:id="rId51" ref="E94"/>
    <hyperlink r:id="rId52" ref="E95"/>
    <hyperlink r:id="rId53" ref="E104"/>
    <hyperlink r:id="rId54" ref="E105"/>
    <hyperlink r:id="rId55" ref="E119"/>
    <hyperlink r:id="rId56" ref="E121"/>
    <hyperlink r:id="rId57" ref="E123"/>
    <hyperlink r:id="rId58" ref="E124"/>
    <hyperlink r:id="rId59" ref="E125"/>
    <hyperlink r:id="rId60" ref="E126"/>
    <hyperlink r:id="rId61" ref="E127"/>
    <hyperlink r:id="rId62" ref="E130"/>
    <hyperlink r:id="rId63" ref="E133"/>
    <hyperlink r:id="rId64" ref="E138"/>
    <hyperlink r:id="rId65" ref="E139"/>
    <hyperlink r:id="rId66" ref="E142"/>
    <hyperlink r:id="rId67" ref="E147"/>
    <hyperlink r:id="rId68" ref="E157"/>
    <hyperlink r:id="rId69" ref="E158"/>
    <hyperlink r:id="rId70" ref="E167"/>
    <hyperlink r:id="rId71" ref="E178"/>
    <hyperlink r:id="rId72" ref="E180"/>
    <hyperlink r:id="rId73" ref="E186"/>
    <hyperlink r:id="rId74" ref="E187"/>
    <hyperlink r:id="rId75" ref="E189"/>
    <hyperlink r:id="rId76" ref="E190"/>
    <hyperlink r:id="rId77" ref="E191"/>
    <hyperlink r:id="rId78" ref="E192"/>
    <hyperlink r:id="rId79" ref="E197"/>
    <hyperlink r:id="rId80" ref="E198"/>
    <hyperlink r:id="rId81" ref="E199"/>
    <hyperlink r:id="rId82" ref="E200"/>
    <hyperlink r:id="rId83" ref="E201"/>
    <hyperlink r:id="rId84" ref="E202"/>
    <hyperlink r:id="rId85" ref="E204"/>
    <hyperlink r:id="rId86" ref="E206"/>
    <hyperlink r:id="rId87" ref="E208"/>
    <hyperlink r:id="rId88" ref="E210"/>
    <hyperlink r:id="rId89" ref="E211"/>
    <hyperlink r:id="rId90" ref="E212"/>
    <hyperlink r:id="rId91" ref="E214"/>
    <hyperlink r:id="rId92" ref="E215"/>
    <hyperlink r:id="rId93" ref="E216"/>
    <hyperlink r:id="rId94" ref="E218"/>
    <hyperlink r:id="rId95" ref="E221"/>
    <hyperlink r:id="rId96" ref="E223"/>
    <hyperlink r:id="rId97" ref="E225"/>
    <hyperlink r:id="rId98" ref="E226"/>
    <hyperlink r:id="rId99" ref="E227"/>
    <hyperlink r:id="rId100" ref="E228"/>
    <hyperlink r:id="rId101" ref="E229"/>
    <hyperlink r:id="rId102" ref="E230"/>
    <hyperlink r:id="rId103" ref="E231"/>
    <hyperlink r:id="rId104" ref="E232"/>
    <hyperlink r:id="rId105" ref="E233"/>
    <hyperlink r:id="rId106" ref="E235"/>
    <hyperlink r:id="rId107" ref="E237"/>
    <hyperlink r:id="rId108" ref="E239"/>
    <hyperlink r:id="rId109" ref="E242"/>
    <hyperlink r:id="rId110" ref="E245"/>
    <hyperlink r:id="rId111" ref="E246"/>
    <hyperlink r:id="rId112" ref="E247"/>
    <hyperlink r:id="rId113" ref="E248"/>
    <hyperlink r:id="rId114" ref="E256"/>
    <hyperlink r:id="rId115" ref="E257"/>
    <hyperlink r:id="rId116" ref="E258"/>
    <hyperlink r:id="rId117" ref="E260"/>
    <hyperlink r:id="rId118" ref="E261"/>
    <hyperlink r:id="rId119" ref="E262"/>
    <hyperlink r:id="rId120" ref="E263"/>
    <hyperlink r:id="rId121" ref="E264"/>
    <hyperlink r:id="rId122" ref="E268"/>
    <hyperlink r:id="rId123" ref="E269"/>
    <hyperlink r:id="rId124" ref="E270"/>
    <hyperlink r:id="rId125" ref="E282"/>
    <hyperlink r:id="rId126" ref="E284"/>
    <hyperlink r:id="rId127" ref="E285"/>
    <hyperlink r:id="rId128" ref="E287"/>
    <hyperlink r:id="rId129" ref="E289"/>
    <hyperlink r:id="rId130" ref="E290"/>
    <hyperlink r:id="rId131" ref="E291"/>
    <hyperlink r:id="rId132" ref="E292"/>
    <hyperlink r:id="rId133" ref="E293"/>
    <hyperlink r:id="rId134" ref="E294"/>
    <hyperlink r:id="rId135" ref="E295"/>
    <hyperlink r:id="rId136" ref="E296"/>
    <hyperlink r:id="rId137" ref="E297"/>
    <hyperlink r:id="rId138" ref="E298"/>
    <hyperlink r:id="rId139" ref="E299"/>
    <hyperlink r:id="rId140" ref="E300"/>
    <hyperlink r:id="rId141" ref="E302"/>
    <hyperlink r:id="rId142" ref="E313"/>
    <hyperlink r:id="rId143" ref="E314"/>
    <hyperlink r:id="rId144" ref="E315"/>
    <hyperlink r:id="rId145" ref="E317"/>
    <hyperlink r:id="rId146" ref="E318"/>
    <hyperlink r:id="rId147" ref="E319"/>
    <hyperlink r:id="rId148" ref="E320"/>
    <hyperlink r:id="rId149" ref="E321"/>
    <hyperlink r:id="rId150" ref="E324"/>
    <hyperlink r:id="rId151" ref="E325"/>
    <hyperlink r:id="rId152" ref="E327"/>
    <hyperlink r:id="rId153" ref="E328"/>
    <hyperlink r:id="rId154" ref="E329"/>
    <hyperlink r:id="rId155" ref="E330"/>
    <hyperlink r:id="rId156" ref="E331"/>
    <hyperlink r:id="rId157" ref="E332"/>
    <hyperlink r:id="rId158" ref="A340"/>
    <hyperlink r:id="rId159" ref="E341"/>
    <hyperlink r:id="rId160" ref="E342"/>
    <hyperlink r:id="rId161" ref="E343"/>
    <hyperlink r:id="rId162" ref="E344"/>
    <hyperlink r:id="rId163" ref="E345"/>
    <hyperlink r:id="rId164" ref="E346"/>
    <hyperlink r:id="rId165" ref="E353"/>
    <hyperlink r:id="rId166" ref="E354"/>
    <hyperlink r:id="rId167" ref="E355"/>
    <hyperlink r:id="rId168" ref="E358"/>
    <hyperlink r:id="rId169" ref="E360"/>
    <hyperlink r:id="rId170" ref="E361"/>
    <hyperlink r:id="rId171" ref="E363"/>
    <hyperlink r:id="rId172" ref="E364"/>
    <hyperlink r:id="rId173" ref="E365"/>
    <hyperlink r:id="rId174" ref="E372"/>
    <hyperlink r:id="rId175" ref="E375"/>
    <hyperlink r:id="rId176" ref="E377"/>
    <hyperlink r:id="rId177" ref="E378"/>
    <hyperlink r:id="rId178" ref="E385"/>
    <hyperlink r:id="rId179" ref="E400"/>
    <hyperlink r:id="rId180" ref="E401"/>
    <hyperlink r:id="rId181" ref="E402"/>
    <hyperlink r:id="rId182" ref="E403"/>
    <hyperlink r:id="rId183" ref="E404"/>
    <hyperlink r:id="rId184" ref="E405"/>
    <hyperlink r:id="rId185" ref="E406"/>
    <hyperlink r:id="rId186" ref="E407"/>
    <hyperlink r:id="rId187" ref="E408"/>
    <hyperlink r:id="rId188" ref="E410"/>
    <hyperlink r:id="rId189" ref="E415"/>
    <hyperlink r:id="rId190" ref="E416"/>
    <hyperlink r:id="rId191" ref="E419"/>
    <hyperlink r:id="rId192" ref="E420"/>
    <hyperlink r:id="rId193" ref="E421"/>
    <hyperlink r:id="rId194" ref="E422"/>
    <hyperlink r:id="rId195" ref="E423"/>
    <hyperlink r:id="rId196" ref="E424"/>
    <hyperlink r:id="rId197" ref="E425"/>
    <hyperlink r:id="rId198" ref="E426"/>
    <hyperlink r:id="rId199" ref="E427"/>
    <hyperlink r:id="rId200" ref="E428"/>
    <hyperlink r:id="rId201" ref="E429"/>
    <hyperlink r:id="rId202" ref="E430"/>
    <hyperlink r:id="rId203" ref="E432"/>
    <hyperlink r:id="rId204" ref="E433"/>
    <hyperlink r:id="rId205" ref="E434"/>
    <hyperlink r:id="rId206" ref="E435"/>
    <hyperlink r:id="rId207" ref="E439"/>
    <hyperlink r:id="rId208" ref="E441"/>
    <hyperlink r:id="rId209" ref="E442"/>
    <hyperlink r:id="rId210" ref="E443"/>
    <hyperlink r:id="rId211" ref="E444"/>
    <hyperlink r:id="rId212" ref="E445"/>
    <hyperlink r:id="rId213" ref="E447"/>
    <hyperlink r:id="rId214" ref="E449"/>
    <hyperlink r:id="rId215" ref="E450"/>
    <hyperlink r:id="rId216" ref="E451"/>
    <hyperlink r:id="rId217" ref="E453"/>
    <hyperlink r:id="rId218" ref="E454"/>
    <hyperlink r:id="rId219" ref="E455"/>
    <hyperlink r:id="rId220" ref="E456"/>
    <hyperlink r:id="rId221" ref="E457"/>
    <hyperlink r:id="rId222" ref="E459"/>
    <hyperlink r:id="rId223" ref="E460"/>
    <hyperlink r:id="rId224" ref="E461"/>
    <hyperlink r:id="rId225" ref="E462"/>
    <hyperlink r:id="rId226" ref="E463"/>
    <hyperlink r:id="rId227" ref="E464"/>
    <hyperlink r:id="rId228" ref="E465"/>
    <hyperlink r:id="rId229" ref="E466"/>
    <hyperlink r:id="rId230" ref="E467"/>
    <hyperlink r:id="rId231" ref="E468"/>
    <hyperlink r:id="rId232" ref="E469"/>
    <hyperlink r:id="rId233" ref="E470"/>
    <hyperlink r:id="rId234" ref="E471"/>
    <hyperlink r:id="rId235" ref="E472"/>
    <hyperlink r:id="rId236" ref="E473"/>
    <hyperlink r:id="rId237" ref="E474"/>
    <hyperlink r:id="rId238" ref="E475"/>
    <hyperlink r:id="rId239" ref="E476"/>
    <hyperlink r:id="rId240" ref="E477"/>
    <hyperlink r:id="rId241" ref="E478"/>
    <hyperlink r:id="rId242" ref="E479"/>
    <hyperlink r:id="rId243" ref="E480"/>
    <hyperlink r:id="rId244" ref="E482"/>
    <hyperlink r:id="rId245" ref="E483"/>
    <hyperlink r:id="rId246" ref="E484"/>
    <hyperlink r:id="rId247" ref="E485"/>
    <hyperlink r:id="rId248" ref="E486"/>
    <hyperlink r:id="rId249" ref="E487"/>
    <hyperlink r:id="rId250" ref="E488"/>
    <hyperlink r:id="rId251" ref="E489"/>
    <hyperlink r:id="rId252" ref="E490"/>
    <hyperlink r:id="rId253" ref="E491"/>
    <hyperlink r:id="rId254" ref="E492"/>
    <hyperlink r:id="rId255" ref="E493"/>
    <hyperlink r:id="rId256" ref="E494"/>
    <hyperlink r:id="rId257" ref="E495"/>
    <hyperlink r:id="rId258" ref="E496"/>
    <hyperlink r:id="rId259" ref="E497"/>
    <hyperlink r:id="rId260" ref="E498"/>
    <hyperlink r:id="rId261" ref="E499"/>
    <hyperlink r:id="rId262" ref="E500"/>
    <hyperlink r:id="rId263" ref="E501"/>
    <hyperlink r:id="rId264" ref="E502"/>
    <hyperlink r:id="rId265" ref="E503"/>
    <hyperlink r:id="rId266" ref="E504"/>
    <hyperlink r:id="rId267" ref="E505"/>
    <hyperlink r:id="rId268" ref="E506"/>
    <hyperlink r:id="rId269" ref="E507"/>
    <hyperlink r:id="rId270" ref="E508"/>
    <hyperlink r:id="rId271" ref="E509"/>
    <hyperlink r:id="rId272" ref="E510"/>
    <hyperlink r:id="rId273" ref="E511"/>
    <hyperlink r:id="rId274" ref="E512"/>
    <hyperlink r:id="rId275" ref="E518"/>
    <hyperlink r:id="rId276" ref="E519"/>
    <hyperlink r:id="rId277" ref="E522"/>
    <hyperlink r:id="rId278" ref="E526"/>
    <hyperlink r:id="rId279" ref="E527"/>
    <hyperlink r:id="rId280" ref="E529"/>
    <hyperlink r:id="rId281" ref="E530"/>
    <hyperlink r:id="rId282" ref="E532"/>
    <hyperlink r:id="rId283" ref="E534"/>
    <hyperlink r:id="rId284" ref="E535"/>
    <hyperlink r:id="rId285" ref="E536"/>
    <hyperlink r:id="rId286" ref="E537"/>
  </hyperlinks>
  <drawing r:id="rId28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hidden="1" min="2" max="2" width="11.13"/>
    <col customWidth="1" min="3" max="3" width="40.5"/>
    <col customWidth="1" min="4" max="4" width="125.63"/>
    <col customWidth="1" hidden="1" min="6" max="6" width="21.38"/>
    <col customWidth="1" min="7" max="7" width="19.25"/>
    <col customWidth="1" min="8" max="8" width="73.5"/>
  </cols>
  <sheetData>
    <row r="1" ht="111.0" customHeight="1">
      <c r="A1" s="170"/>
      <c r="B1" s="15"/>
      <c r="C1" s="15"/>
      <c r="D1" s="15"/>
      <c r="E1" s="15"/>
      <c r="F1" s="15"/>
      <c r="G1" s="65"/>
      <c r="H1" s="171"/>
    </row>
    <row r="2">
      <c r="A2" s="25">
        <v>1.0</v>
      </c>
      <c r="B2" s="25" t="s">
        <v>66</v>
      </c>
      <c r="C2" s="172" t="s">
        <v>67</v>
      </c>
      <c r="D2" s="172" t="s">
        <v>68</v>
      </c>
      <c r="E2" s="173">
        <f>Nacionalizado!D25</f>
        <v>0.2302325581</v>
      </c>
      <c r="F2" s="174">
        <f>(90/430)*1.1</f>
        <v>0.2302325581</v>
      </c>
      <c r="G2" s="109"/>
      <c r="H2" s="171"/>
    </row>
    <row r="3">
      <c r="A3" s="25">
        <v>2.0</v>
      </c>
      <c r="B3" s="25" t="s">
        <v>66</v>
      </c>
      <c r="C3" s="172" t="s">
        <v>67</v>
      </c>
      <c r="D3" s="172" t="s">
        <v>69</v>
      </c>
      <c r="E3" s="173">
        <f>Nacionalizado!D26</f>
        <v>0.1914</v>
      </c>
      <c r="F3" s="175">
        <f>0.174*1.1</f>
        <v>0.1914</v>
      </c>
      <c r="G3" s="109"/>
      <c r="H3" s="171"/>
    </row>
    <row r="4">
      <c r="A4" s="25">
        <v>3.0</v>
      </c>
      <c r="B4" s="25" t="s">
        <v>70</v>
      </c>
      <c r="C4" s="172" t="s">
        <v>67</v>
      </c>
      <c r="D4" s="172" t="s">
        <v>71</v>
      </c>
      <c r="E4" s="173">
        <f>Nacionalizado!D27</f>
        <v>0.21</v>
      </c>
      <c r="F4" s="175">
        <f>0.16*1.1</f>
        <v>0.176</v>
      </c>
      <c r="G4" s="109"/>
      <c r="H4" s="171"/>
    </row>
    <row r="5">
      <c r="A5" s="25">
        <v>4.0</v>
      </c>
      <c r="B5" s="25" t="s">
        <v>72</v>
      </c>
      <c r="C5" s="172" t="s">
        <v>73</v>
      </c>
      <c r="D5" s="172" t="s">
        <v>74</v>
      </c>
      <c r="E5" s="173">
        <f>Nacionalizado!D28</f>
        <v>0.161</v>
      </c>
      <c r="F5" s="175">
        <f t="shared" ref="F5:F6" si="1">0.14*1.15</f>
        <v>0.161</v>
      </c>
      <c r="G5" s="109"/>
      <c r="H5" s="171"/>
    </row>
    <row r="6">
      <c r="A6" s="25">
        <v>5.0</v>
      </c>
      <c r="B6" s="25" t="s">
        <v>75</v>
      </c>
      <c r="C6" s="172" t="s">
        <v>73</v>
      </c>
      <c r="D6" s="172" t="s">
        <v>76</v>
      </c>
      <c r="E6" s="173">
        <f>Nacionalizado!D29</f>
        <v>0.161</v>
      </c>
      <c r="F6" s="175">
        <f t="shared" si="1"/>
        <v>0.161</v>
      </c>
      <c r="G6" s="109"/>
      <c r="H6" s="171"/>
    </row>
    <row r="7">
      <c r="A7" s="25">
        <v>6.0</v>
      </c>
      <c r="B7" s="25" t="s">
        <v>77</v>
      </c>
      <c r="C7" s="172" t="s">
        <v>67</v>
      </c>
      <c r="D7" s="172" t="s">
        <v>78</v>
      </c>
      <c r="E7" s="173">
        <f>Nacionalizado!D30</f>
        <v>0.1749</v>
      </c>
      <c r="F7" s="175">
        <f t="shared" ref="F7:F8" si="2">0.159*1.1</f>
        <v>0.1749</v>
      </c>
      <c r="G7" s="109"/>
      <c r="H7" s="171"/>
    </row>
    <row r="8">
      <c r="A8" s="25">
        <v>7.0</v>
      </c>
      <c r="B8" s="25" t="s">
        <v>75</v>
      </c>
      <c r="C8" s="172" t="s">
        <v>67</v>
      </c>
      <c r="D8" s="172" t="s">
        <v>79</v>
      </c>
      <c r="E8" s="173">
        <f>Nacionalizado!D31</f>
        <v>0.1749</v>
      </c>
      <c r="F8" s="175">
        <f t="shared" si="2"/>
        <v>0.1749</v>
      </c>
      <c r="G8" s="109"/>
      <c r="H8" s="171"/>
    </row>
    <row r="9">
      <c r="A9" s="25">
        <v>8.0</v>
      </c>
      <c r="B9" s="25" t="s">
        <v>75</v>
      </c>
      <c r="C9" s="172" t="s">
        <v>80</v>
      </c>
      <c r="D9" s="172" t="s">
        <v>81</v>
      </c>
      <c r="E9" s="173">
        <f>Nacionalizado!D32</f>
        <v>0.165</v>
      </c>
      <c r="F9" s="175">
        <f>0.15*1.1</f>
        <v>0.165</v>
      </c>
      <c r="G9" s="176" t="s">
        <v>82</v>
      </c>
      <c r="H9" s="171"/>
    </row>
    <row r="10">
      <c r="A10" s="25">
        <v>9.0</v>
      </c>
      <c r="B10" s="25">
        <v>2.0</v>
      </c>
      <c r="C10" s="172" t="s">
        <v>67</v>
      </c>
      <c r="D10" s="172" t="s">
        <v>83</v>
      </c>
      <c r="E10" s="173">
        <f>Nacionalizado!D33</f>
        <v>0.1815</v>
      </c>
      <c r="F10" s="175">
        <f>0.165*1.1</f>
        <v>0.1815</v>
      </c>
      <c r="G10" s="109"/>
      <c r="H10" s="171"/>
    </row>
    <row r="11">
      <c r="A11" s="25">
        <v>10.0</v>
      </c>
      <c r="B11" s="25" t="s">
        <v>84</v>
      </c>
      <c r="C11" s="172" t="s">
        <v>67</v>
      </c>
      <c r="D11" s="172" t="s">
        <v>85</v>
      </c>
      <c r="E11" s="173">
        <f>Nacionalizado!D34</f>
        <v>0.1947</v>
      </c>
      <c r="F11" s="177">
        <f>0.177*1.1</f>
        <v>0.1947</v>
      </c>
      <c r="G11" s="109"/>
      <c r="H11" s="171"/>
    </row>
    <row r="12">
      <c r="A12" s="25">
        <v>11.0</v>
      </c>
      <c r="B12" s="25" t="s">
        <v>86</v>
      </c>
      <c r="C12" s="172" t="s">
        <v>67</v>
      </c>
      <c r="D12" s="172" t="s">
        <v>87</v>
      </c>
      <c r="E12" s="173">
        <f>Nacionalizado!D35</f>
        <v>0.166</v>
      </c>
      <c r="F12" s="175">
        <f>0.222*1.1</f>
        <v>0.2442</v>
      </c>
      <c r="G12" s="109"/>
      <c r="H12" s="171"/>
    </row>
    <row r="13">
      <c r="A13" s="25">
        <v>12.0</v>
      </c>
      <c r="B13" s="25" t="s">
        <v>88</v>
      </c>
      <c r="C13" s="172" t="s">
        <v>89</v>
      </c>
      <c r="D13" s="172" t="s">
        <v>90</v>
      </c>
      <c r="E13" s="173">
        <v>0.15</v>
      </c>
      <c r="F13" s="175">
        <f>0.145*1.11</f>
        <v>0.16095</v>
      </c>
      <c r="G13" s="176" t="s">
        <v>91</v>
      </c>
      <c r="H13" s="171"/>
    </row>
    <row r="14">
      <c r="A14" s="39">
        <v>46034.0</v>
      </c>
      <c r="B14" s="25"/>
      <c r="C14" s="172" t="s">
        <v>67</v>
      </c>
      <c r="D14" s="172" t="s">
        <v>92</v>
      </c>
      <c r="E14" s="173">
        <f>Nacionalizado!D37</f>
        <v>0.18955</v>
      </c>
      <c r="F14" s="178">
        <f>0.17*1.115</f>
        <v>0.18955</v>
      </c>
      <c r="G14" s="176"/>
      <c r="H14" s="17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</row>
    <row r="15">
      <c r="A15" s="25">
        <v>13.0</v>
      </c>
      <c r="B15" s="25" t="s">
        <v>88</v>
      </c>
      <c r="C15" s="172" t="s">
        <v>93</v>
      </c>
      <c r="D15" s="172" t="s">
        <v>94</v>
      </c>
      <c r="E15" s="173">
        <v>0.16</v>
      </c>
      <c r="F15" s="175">
        <f>0.151*1.1</f>
        <v>0.1661</v>
      </c>
      <c r="G15" s="176"/>
      <c r="H15" s="171"/>
    </row>
    <row r="16">
      <c r="A16" s="25">
        <v>14.0</v>
      </c>
      <c r="B16" s="25" t="s">
        <v>95</v>
      </c>
      <c r="C16" s="172" t="s">
        <v>67</v>
      </c>
      <c r="D16" s="172" t="s">
        <v>96</v>
      </c>
      <c r="E16" s="173">
        <f>Nacionalizado!D39</f>
        <v>0.17446</v>
      </c>
      <c r="F16" s="175">
        <f>0.1586*1.1</f>
        <v>0.17446</v>
      </c>
      <c r="G16" s="109"/>
      <c r="H16" s="171"/>
    </row>
    <row r="17">
      <c r="A17" s="25">
        <v>15.0</v>
      </c>
      <c r="B17" s="25">
        <v>2.0</v>
      </c>
      <c r="C17" s="172" t="s">
        <v>67</v>
      </c>
      <c r="D17" s="172" t="s">
        <v>97</v>
      </c>
      <c r="E17" s="173">
        <f>Nacionalizado!D40</f>
        <v>0.155</v>
      </c>
      <c r="F17" s="175">
        <f t="shared" ref="F17:F18" si="3">0.155</f>
        <v>0.155</v>
      </c>
      <c r="G17" s="109"/>
      <c r="H17" s="171"/>
    </row>
    <row r="18">
      <c r="A18" s="25">
        <v>16.0</v>
      </c>
      <c r="B18" s="25"/>
      <c r="C18" s="172" t="s">
        <v>67</v>
      </c>
      <c r="D18" s="172" t="s">
        <v>98</v>
      </c>
      <c r="E18" s="173">
        <f>Nacionalizado!D41</f>
        <v>0.155</v>
      </c>
      <c r="F18" s="175">
        <f t="shared" si="3"/>
        <v>0.155</v>
      </c>
      <c r="G18" s="109"/>
      <c r="H18" s="171"/>
    </row>
    <row r="19">
      <c r="A19" s="25">
        <v>17.0</v>
      </c>
      <c r="B19" s="25" t="s">
        <v>75</v>
      </c>
      <c r="C19" s="172" t="s">
        <v>67</v>
      </c>
      <c r="D19" s="172" t="s">
        <v>99</v>
      </c>
      <c r="E19" s="173">
        <f>Nacionalizado!D42</f>
        <v>0.1749</v>
      </c>
      <c r="F19" s="175">
        <f>0.159*1.1</f>
        <v>0.1749</v>
      </c>
      <c r="G19" s="109"/>
      <c r="H19" s="171"/>
    </row>
    <row r="20">
      <c r="A20" s="25">
        <v>18.0</v>
      </c>
      <c r="B20" s="25"/>
      <c r="C20" s="172" t="s">
        <v>100</v>
      </c>
      <c r="D20" s="172" t="s">
        <v>101</v>
      </c>
      <c r="E20" s="173">
        <f>Nacionalizado!D43</f>
        <v>0.16576</v>
      </c>
      <c r="F20" s="179">
        <f>0.148*1.12</f>
        <v>0.16576</v>
      </c>
      <c r="G20" s="109"/>
      <c r="H20" s="171"/>
    </row>
    <row r="21">
      <c r="A21" s="25">
        <v>19.0</v>
      </c>
      <c r="B21" s="25"/>
      <c r="C21" s="172" t="s">
        <v>73</v>
      </c>
      <c r="D21" s="172" t="s">
        <v>102</v>
      </c>
      <c r="E21" s="173">
        <f>Nacionalizado!D44</f>
        <v>0.16128</v>
      </c>
      <c r="F21" s="179">
        <f>0.144*1.12</f>
        <v>0.16128</v>
      </c>
      <c r="G21" s="109"/>
      <c r="H21" s="171"/>
    </row>
    <row r="22">
      <c r="A22" s="25">
        <v>20.0</v>
      </c>
      <c r="B22" s="25"/>
      <c r="C22" s="172" t="s">
        <v>73</v>
      </c>
      <c r="D22" s="172" t="s">
        <v>103</v>
      </c>
      <c r="E22" s="173">
        <f>Nacionalizado!D45</f>
        <v>0.165</v>
      </c>
      <c r="F22" s="179">
        <f>0.15*1.1</f>
        <v>0.165</v>
      </c>
      <c r="G22" s="109"/>
      <c r="H22" s="171"/>
    </row>
    <row r="23">
      <c r="A23" s="25">
        <v>21.0</v>
      </c>
      <c r="B23" s="25"/>
      <c r="C23" s="172" t="s">
        <v>104</v>
      </c>
      <c r="D23" s="172" t="s">
        <v>105</v>
      </c>
      <c r="E23" s="173">
        <f>Nacionalizado!D46</f>
        <v>0.1694</v>
      </c>
      <c r="F23" s="179">
        <f t="shared" ref="F23:F26" si="4">0.154*1.1</f>
        <v>0.1694</v>
      </c>
      <c r="G23" s="109"/>
      <c r="H23" s="171"/>
    </row>
    <row r="24">
      <c r="A24" s="25">
        <v>22.0</v>
      </c>
      <c r="B24" s="25"/>
      <c r="C24" s="172" t="s">
        <v>104</v>
      </c>
      <c r="D24" s="172" t="s">
        <v>106</v>
      </c>
      <c r="E24" s="173">
        <f>Nacionalizado!D47</f>
        <v>0.1694</v>
      </c>
      <c r="F24" s="179">
        <f t="shared" si="4"/>
        <v>0.1694</v>
      </c>
      <c r="G24" s="109"/>
      <c r="H24" s="171"/>
    </row>
    <row r="25">
      <c r="A25" s="25">
        <v>23.0</v>
      </c>
      <c r="B25" s="25"/>
      <c r="C25" s="172" t="s">
        <v>104</v>
      </c>
      <c r="D25" s="172" t="s">
        <v>107</v>
      </c>
      <c r="E25" s="173">
        <f>Nacionalizado!D48</f>
        <v>0.1694</v>
      </c>
      <c r="F25" s="179">
        <f t="shared" si="4"/>
        <v>0.1694</v>
      </c>
      <c r="G25" s="109"/>
      <c r="H25" s="171"/>
    </row>
    <row r="26">
      <c r="A26" s="25">
        <v>24.0</v>
      </c>
      <c r="B26" s="25"/>
      <c r="C26" s="172" t="s">
        <v>104</v>
      </c>
      <c r="D26" s="172" t="s">
        <v>108</v>
      </c>
      <c r="E26" s="173">
        <f>Nacionalizado!D49</f>
        <v>0.1694</v>
      </c>
      <c r="F26" s="179">
        <f t="shared" si="4"/>
        <v>0.1694</v>
      </c>
      <c r="G26" s="109"/>
      <c r="H26" s="171"/>
    </row>
    <row r="27">
      <c r="A27" s="25">
        <v>25.0</v>
      </c>
      <c r="B27" s="25">
        <v>1.0</v>
      </c>
      <c r="C27" s="172" t="s">
        <v>109</v>
      </c>
      <c r="D27" s="172" t="s">
        <v>110</v>
      </c>
      <c r="E27" s="173">
        <v>0.15</v>
      </c>
      <c r="F27" s="177">
        <f>0.165*1.1</f>
        <v>0.1815</v>
      </c>
      <c r="G27" s="109"/>
      <c r="H27" s="171"/>
    </row>
    <row r="28">
      <c r="A28" s="25">
        <v>26.0</v>
      </c>
      <c r="B28" s="25"/>
      <c r="C28" s="172" t="s">
        <v>111</v>
      </c>
      <c r="D28" s="172" t="s">
        <v>112</v>
      </c>
      <c r="E28" s="173">
        <v>0.14</v>
      </c>
      <c r="F28" s="175"/>
      <c r="G28" s="180" t="s">
        <v>113</v>
      </c>
      <c r="H28" s="171"/>
    </row>
    <row r="29">
      <c r="A29" s="25">
        <v>27.0</v>
      </c>
      <c r="B29" s="25" t="s">
        <v>114</v>
      </c>
      <c r="C29" s="172" t="s">
        <v>67</v>
      </c>
      <c r="D29" s="172" t="s">
        <v>115</v>
      </c>
      <c r="E29" s="173">
        <f>Nacionalizado!D52</f>
        <v>0.2235772358</v>
      </c>
      <c r="F29" s="175">
        <f>125/615*1.1</f>
        <v>0.2235772358</v>
      </c>
      <c r="G29" s="109"/>
      <c r="H29" s="171"/>
    </row>
    <row r="30">
      <c r="A30" s="25">
        <v>28.0</v>
      </c>
      <c r="B30" s="25" t="s">
        <v>116</v>
      </c>
      <c r="C30" s="172" t="s">
        <v>73</v>
      </c>
      <c r="D30" s="172" t="s">
        <v>117</v>
      </c>
      <c r="E30" s="173">
        <f>Nacionalizado!D53</f>
        <v>0.28336</v>
      </c>
      <c r="F30" s="175">
        <f>0.23*1.12*1.1</f>
        <v>0.28336</v>
      </c>
      <c r="G30" s="109"/>
      <c r="H30" s="171"/>
    </row>
    <row r="31">
      <c r="A31" s="25">
        <v>29.0</v>
      </c>
      <c r="B31" s="25" t="s">
        <v>118</v>
      </c>
      <c r="C31" s="172" t="s">
        <v>73</v>
      </c>
      <c r="D31" s="172" t="s">
        <v>119</v>
      </c>
      <c r="E31" s="173">
        <f>Nacionalizado!D54</f>
        <v>0.187</v>
      </c>
      <c r="F31" s="175">
        <f>0.17*1.1</f>
        <v>0.187</v>
      </c>
      <c r="G31" s="109"/>
      <c r="H31" s="171"/>
    </row>
    <row r="32">
      <c r="A32" s="25">
        <v>30.0</v>
      </c>
      <c r="B32" s="25" t="s">
        <v>120</v>
      </c>
      <c r="C32" s="172" t="s">
        <v>73</v>
      </c>
      <c r="D32" s="172" t="s">
        <v>121</v>
      </c>
      <c r="E32" s="173">
        <f>Nacionalizado!D55</f>
        <v>0.1668106</v>
      </c>
      <c r="F32" s="175">
        <f>0.121*1.22*1.13</f>
        <v>0.1668106</v>
      </c>
      <c r="G32" s="109"/>
      <c r="H32" s="171"/>
    </row>
    <row r="33">
      <c r="A33" s="25">
        <v>31.0</v>
      </c>
      <c r="B33" s="25" t="s">
        <v>118</v>
      </c>
      <c r="C33" s="172" t="s">
        <v>104</v>
      </c>
      <c r="D33" s="172" t="s">
        <v>122</v>
      </c>
      <c r="E33" s="173">
        <f>Nacionalizado!D56</f>
        <v>0.158592181</v>
      </c>
      <c r="F33" s="175">
        <f>(88.83/580)*0.95*1.09</f>
        <v>0.158592181</v>
      </c>
      <c r="G33" s="109"/>
      <c r="H33" s="171"/>
    </row>
    <row r="34">
      <c r="A34" s="25">
        <v>32.0</v>
      </c>
      <c r="B34" s="25" t="s">
        <v>116</v>
      </c>
      <c r="C34" s="172" t="s">
        <v>73</v>
      </c>
      <c r="D34" s="172" t="s">
        <v>123</v>
      </c>
      <c r="E34" s="173">
        <f>Nacionalizado!D57</f>
        <v>0.14</v>
      </c>
      <c r="F34" s="175">
        <f>0.125*1.12</f>
        <v>0.14</v>
      </c>
      <c r="G34" s="109"/>
      <c r="H34" s="171"/>
    </row>
    <row r="35">
      <c r="A35" s="25">
        <v>33.0</v>
      </c>
      <c r="B35" s="25"/>
      <c r="C35" s="172" t="s">
        <v>124</v>
      </c>
      <c r="D35" s="172" t="s">
        <v>125</v>
      </c>
      <c r="E35" s="173">
        <f>Nacionalizado!D58</f>
        <v>0.1595</v>
      </c>
      <c r="F35" s="175">
        <f>0.145*1.1</f>
        <v>0.1595</v>
      </c>
      <c r="G35" s="109"/>
      <c r="H35" s="171"/>
    </row>
    <row r="36">
      <c r="A36" s="25">
        <v>34.0</v>
      </c>
      <c r="B36" s="25"/>
      <c r="C36" s="172" t="s">
        <v>67</v>
      </c>
      <c r="D36" s="172" t="s">
        <v>126</v>
      </c>
      <c r="E36" s="173">
        <f>Nacionalizado!D59</f>
        <v>0.1750419658</v>
      </c>
      <c r="F36" s="175">
        <f>(97.99/585)*0.95*1.1</f>
        <v>0.1750419658</v>
      </c>
      <c r="G36" s="109"/>
      <c r="H36" s="171"/>
    </row>
    <row r="37">
      <c r="A37" s="25">
        <v>35.0</v>
      </c>
      <c r="B37" s="25"/>
      <c r="C37" s="172" t="s">
        <v>127</v>
      </c>
      <c r="D37" s="172" t="s">
        <v>128</v>
      </c>
      <c r="E37" s="173">
        <f>Nacionalizado!D60</f>
        <v>0.1495</v>
      </c>
      <c r="F37" s="175">
        <f>0.115*1.3</f>
        <v>0.1495</v>
      </c>
      <c r="G37" s="109"/>
      <c r="H37" s="171"/>
    </row>
    <row r="38">
      <c r="A38" s="25">
        <v>36.0</v>
      </c>
      <c r="B38" s="25"/>
      <c r="C38" s="172" t="s">
        <v>67</v>
      </c>
      <c r="D38" s="172" t="s">
        <v>129</v>
      </c>
      <c r="E38" s="173">
        <f>Nacionalizado!D61</f>
        <v>0.1826</v>
      </c>
      <c r="F38" s="175">
        <f>0.166*1.1</f>
        <v>0.1826</v>
      </c>
      <c r="G38" s="109"/>
      <c r="H38" s="171"/>
    </row>
    <row r="39">
      <c r="A39" s="25">
        <v>37.0</v>
      </c>
      <c r="B39" s="25"/>
      <c r="C39" s="172" t="s">
        <v>67</v>
      </c>
      <c r="D39" s="172" t="s">
        <v>130</v>
      </c>
      <c r="E39" s="173">
        <f>Nacionalizado!D62</f>
        <v>0.1626448718</v>
      </c>
      <c r="F39" s="175">
        <f>(91.05/585)*0.95*1.1</f>
        <v>0.1626448718</v>
      </c>
      <c r="G39" s="109"/>
      <c r="H39" s="171"/>
    </row>
    <row r="40">
      <c r="A40" s="25">
        <v>38.0</v>
      </c>
      <c r="B40" s="25"/>
      <c r="C40" s="172" t="s">
        <v>67</v>
      </c>
      <c r="D40" s="172" t="s">
        <v>131</v>
      </c>
      <c r="E40" s="173">
        <f>Nacionalizado!D63</f>
        <v>0.161</v>
      </c>
      <c r="F40" s="175"/>
      <c r="G40" s="109"/>
      <c r="H40" s="171"/>
    </row>
    <row r="41">
      <c r="A41" s="25">
        <v>39.0</v>
      </c>
      <c r="B41" s="25"/>
      <c r="C41" s="172" t="s">
        <v>67</v>
      </c>
      <c r="D41" s="172" t="s">
        <v>132</v>
      </c>
      <c r="E41" s="173">
        <f>Nacionalizado!D64</f>
        <v>0.169</v>
      </c>
      <c r="F41" s="175"/>
      <c r="G41" s="109"/>
      <c r="H41" s="171"/>
    </row>
    <row r="42">
      <c r="A42" s="181" t="s">
        <v>21</v>
      </c>
      <c r="B42" s="15"/>
      <c r="C42" s="15"/>
      <c r="D42" s="15"/>
      <c r="E42" s="15"/>
      <c r="F42" s="15"/>
      <c r="G42" s="65"/>
      <c r="H42" s="171"/>
    </row>
    <row r="43">
      <c r="A43" s="25" t="s">
        <v>133</v>
      </c>
      <c r="B43" s="25"/>
      <c r="C43" s="172" t="s">
        <v>67</v>
      </c>
      <c r="D43" s="182" t="s">
        <v>134</v>
      </c>
      <c r="E43" s="173">
        <f>Nacionalizado!D66</f>
        <v>1297.8336</v>
      </c>
      <c r="F43" s="67">
        <f>1158.78*1.12</f>
        <v>1297.8336</v>
      </c>
      <c r="G43" s="109"/>
      <c r="H43" s="171"/>
    </row>
    <row r="44">
      <c r="A44" s="25" t="s">
        <v>135</v>
      </c>
      <c r="B44" s="25"/>
      <c r="C44" s="172" t="s">
        <v>67</v>
      </c>
      <c r="D44" s="182" t="s">
        <v>136</v>
      </c>
      <c r="E44" s="173">
        <f>Nacionalizado!D67</f>
        <v>1433.993</v>
      </c>
      <c r="F44" s="67">
        <f>1303.63*1.1</f>
        <v>1433.993</v>
      </c>
      <c r="G44" s="109"/>
      <c r="H44" s="171"/>
    </row>
    <row r="45">
      <c r="A45" s="25" t="s">
        <v>137</v>
      </c>
      <c r="B45" s="25"/>
      <c r="C45" s="172" t="s">
        <v>67</v>
      </c>
      <c r="D45" s="182" t="s">
        <v>138</v>
      </c>
      <c r="E45" s="173">
        <f>Nacionalizado!D68</f>
        <v>1779.206</v>
      </c>
      <c r="F45" s="67">
        <f>1617.46*1.1</f>
        <v>1779.206</v>
      </c>
      <c r="G45" s="109"/>
      <c r="H45" s="171"/>
    </row>
    <row r="46">
      <c r="A46" s="25" t="s">
        <v>139</v>
      </c>
      <c r="B46" s="25"/>
      <c r="C46" s="172" t="s">
        <v>67</v>
      </c>
      <c r="D46" s="182" t="s">
        <v>140</v>
      </c>
      <c r="E46" s="173">
        <f>Nacionalizado!D69</f>
        <v>2044.768</v>
      </c>
      <c r="F46" s="67">
        <f>1858.88*1.1</f>
        <v>2044.768</v>
      </c>
      <c r="G46" s="109"/>
      <c r="H46" s="171"/>
    </row>
    <row r="47">
      <c r="A47" s="25" t="s">
        <v>141</v>
      </c>
      <c r="B47" s="25"/>
      <c r="C47" s="172" t="s">
        <v>67</v>
      </c>
      <c r="D47" s="182" t="s">
        <v>142</v>
      </c>
      <c r="E47" s="173">
        <f>Nacionalizado!D70</f>
        <v>2400.607</v>
      </c>
      <c r="F47" s="67">
        <f>2182.37*1.1</f>
        <v>2400.607</v>
      </c>
      <c r="G47" s="109"/>
      <c r="H47" s="171"/>
    </row>
    <row r="48">
      <c r="A48" s="25" t="s">
        <v>143</v>
      </c>
      <c r="B48" s="25"/>
      <c r="C48" s="172" t="s">
        <v>67</v>
      </c>
      <c r="D48" s="182" t="s">
        <v>144</v>
      </c>
      <c r="E48" s="173">
        <f>Nacionalizado!D71</f>
        <v>2798.4544</v>
      </c>
      <c r="F48" s="67">
        <f>2498.62*1.12</f>
        <v>2798.4544</v>
      </c>
      <c r="G48" s="109"/>
      <c r="H48" s="171"/>
    </row>
    <row r="49">
      <c r="A49" s="25" t="s">
        <v>145</v>
      </c>
      <c r="B49" s="25"/>
      <c r="C49" s="172" t="s">
        <v>67</v>
      </c>
      <c r="D49" s="182" t="s">
        <v>146</v>
      </c>
      <c r="E49" s="173">
        <f>Nacionalizado!D72</f>
        <v>3823.975</v>
      </c>
      <c r="F49" s="67">
        <f>3059.18*1.25</f>
        <v>3823.975</v>
      </c>
      <c r="G49" s="109"/>
      <c r="H49" s="171"/>
    </row>
    <row r="50">
      <c r="A50" s="25" t="s">
        <v>147</v>
      </c>
      <c r="B50" s="25"/>
      <c r="C50" s="172" t="s">
        <v>67</v>
      </c>
      <c r="D50" s="182" t="s">
        <v>148</v>
      </c>
      <c r="E50" s="173">
        <f>Nacionalizado!D73</f>
        <v>5066.765</v>
      </c>
      <c r="F50" s="67">
        <f>4606.15*1.1</f>
        <v>5066.765</v>
      </c>
      <c r="G50" s="109"/>
      <c r="H50" s="171"/>
    </row>
    <row r="51">
      <c r="A51" s="25" t="s">
        <v>149</v>
      </c>
      <c r="B51" s="25"/>
      <c r="C51" s="172" t="s">
        <v>67</v>
      </c>
      <c r="D51" s="182" t="s">
        <v>150</v>
      </c>
      <c r="E51" s="173">
        <f>Nacionalizado!D74</f>
        <v>9942.328</v>
      </c>
      <c r="F51" s="67">
        <f>9038.48*1.1</f>
        <v>9942.328</v>
      </c>
      <c r="G51" s="109"/>
      <c r="H51" s="171"/>
    </row>
    <row r="52">
      <c r="A52" s="25" t="s">
        <v>151</v>
      </c>
      <c r="B52" s="25"/>
      <c r="C52" s="172" t="s">
        <v>67</v>
      </c>
      <c r="D52" s="182" t="s">
        <v>152</v>
      </c>
      <c r="E52" s="173">
        <f>Nacionalizado!D75</f>
        <v>12236.719</v>
      </c>
      <c r="F52" s="67">
        <f>11124.29*1.1</f>
        <v>12236.719</v>
      </c>
      <c r="G52" s="109"/>
      <c r="H52" s="171"/>
    </row>
    <row r="53">
      <c r="A53" s="181" t="s">
        <v>21</v>
      </c>
      <c r="B53" s="15"/>
      <c r="C53" s="15"/>
      <c r="D53" s="15"/>
      <c r="E53" s="15"/>
      <c r="F53" s="15"/>
      <c r="G53" s="65"/>
      <c r="H53" s="171"/>
    </row>
    <row r="54">
      <c r="A54" s="25">
        <v>40.0</v>
      </c>
      <c r="B54" s="25" t="s">
        <v>153</v>
      </c>
      <c r="C54" s="172" t="s">
        <v>73</v>
      </c>
      <c r="D54" s="172" t="s">
        <v>154</v>
      </c>
      <c r="E54" s="173">
        <f>Nacionalizado!D77</f>
        <v>186.3</v>
      </c>
      <c r="F54" s="67">
        <f>162*1.15</f>
        <v>186.3</v>
      </c>
      <c r="G54" s="109"/>
      <c r="H54" s="171"/>
    </row>
    <row r="55">
      <c r="A55" s="25">
        <v>41.0</v>
      </c>
      <c r="B55" s="25" t="s">
        <v>153</v>
      </c>
      <c r="C55" s="172" t="s">
        <v>155</v>
      </c>
      <c r="D55" s="172" t="s">
        <v>156</v>
      </c>
      <c r="E55" s="173">
        <f>Nacionalizado!D78</f>
        <v>279.0625</v>
      </c>
      <c r="F55" s="67">
        <f>223.25*1.25</f>
        <v>279.0625</v>
      </c>
      <c r="G55" s="109"/>
      <c r="H55" s="171"/>
    </row>
    <row r="56">
      <c r="A56" s="25">
        <v>42.0</v>
      </c>
      <c r="B56" s="25" t="s">
        <v>153</v>
      </c>
      <c r="C56" s="172" t="s">
        <v>155</v>
      </c>
      <c r="D56" s="172" t="s">
        <v>157</v>
      </c>
      <c r="E56" s="173">
        <f>Nacionalizado!D79</f>
        <v>401.375</v>
      </c>
      <c r="F56" s="67">
        <f>321.1*1.25</f>
        <v>401.375</v>
      </c>
      <c r="G56" s="109"/>
      <c r="H56" s="171"/>
    </row>
    <row r="57">
      <c r="A57" s="25">
        <v>43.0</v>
      </c>
      <c r="B57" s="25" t="s">
        <v>158</v>
      </c>
      <c r="C57" s="172" t="s">
        <v>100</v>
      </c>
      <c r="D57" s="172" t="s">
        <v>159</v>
      </c>
      <c r="E57" s="173">
        <f>Nacionalizado!D80</f>
        <v>610.88</v>
      </c>
      <c r="F57" s="67">
        <f>640*0.83*1.15</f>
        <v>610.88</v>
      </c>
      <c r="G57" s="109"/>
      <c r="H57" s="171"/>
    </row>
    <row r="58">
      <c r="A58" s="25">
        <v>44.0</v>
      </c>
      <c r="B58" s="25" t="s">
        <v>160</v>
      </c>
      <c r="C58" s="172" t="s">
        <v>100</v>
      </c>
      <c r="D58" s="172" t="s">
        <v>161</v>
      </c>
      <c r="E58" s="173">
        <f>Nacionalizado!D81</f>
        <v>779.52</v>
      </c>
      <c r="F58" s="67">
        <f>696*1.12</f>
        <v>779.52</v>
      </c>
      <c r="G58" s="109"/>
      <c r="H58" s="171"/>
    </row>
    <row r="59">
      <c r="A59" s="25">
        <v>45.0</v>
      </c>
      <c r="B59" s="25" t="s">
        <v>153</v>
      </c>
      <c r="C59" s="172" t="s">
        <v>73</v>
      </c>
      <c r="D59" s="172" t="s">
        <v>162</v>
      </c>
      <c r="E59" s="173">
        <f>Nacionalizado!D82</f>
        <v>2168.274223</v>
      </c>
      <c r="F59" s="67">
        <f>(2898600/1.21*0.85)/1033*1.1</f>
        <v>2168.274223</v>
      </c>
      <c r="G59" s="109"/>
      <c r="H59" s="171"/>
    </row>
    <row r="60">
      <c r="A60" s="25">
        <v>46.0</v>
      </c>
      <c r="B60" s="25" t="s">
        <v>163</v>
      </c>
      <c r="C60" s="172" t="s">
        <v>100</v>
      </c>
      <c r="D60" s="172" t="s">
        <v>164</v>
      </c>
      <c r="E60" s="173">
        <f>Nacionalizado!D83</f>
        <v>860.16</v>
      </c>
      <c r="F60" s="67">
        <f>768*1.12</f>
        <v>860.16</v>
      </c>
      <c r="G60" s="109"/>
      <c r="H60" s="171"/>
    </row>
    <row r="61">
      <c r="A61" s="25">
        <v>47.0</v>
      </c>
      <c r="B61" s="25" t="s">
        <v>160</v>
      </c>
      <c r="C61" s="172" t="s">
        <v>100</v>
      </c>
      <c r="D61" s="172" t="s">
        <v>165</v>
      </c>
      <c r="E61" s="173">
        <f>Nacionalizado!D84</f>
        <v>987.84</v>
      </c>
      <c r="F61" s="67">
        <f>882*1.12</f>
        <v>987.84</v>
      </c>
      <c r="G61" s="109"/>
      <c r="H61" s="171"/>
    </row>
    <row r="62">
      <c r="A62" s="25">
        <v>48.0</v>
      </c>
      <c r="B62" s="25" t="s">
        <v>166</v>
      </c>
      <c r="C62" s="172" t="s">
        <v>100</v>
      </c>
      <c r="D62" s="172" t="s">
        <v>167</v>
      </c>
      <c r="E62" s="173">
        <f>Nacionalizado!D85</f>
        <v>1113.28</v>
      </c>
      <c r="F62" s="67">
        <f>994*1.12</f>
        <v>1113.28</v>
      </c>
      <c r="G62" s="109"/>
      <c r="H62" s="171"/>
    </row>
    <row r="63">
      <c r="A63" s="25">
        <v>49.0</v>
      </c>
      <c r="B63" s="25" t="s">
        <v>168</v>
      </c>
      <c r="C63" s="172" t="s">
        <v>100</v>
      </c>
      <c r="D63" s="172" t="s">
        <v>169</v>
      </c>
      <c r="E63" s="173">
        <f>Nacionalizado!D86</f>
        <v>1227.52</v>
      </c>
      <c r="F63" s="67">
        <f>1096*1.12</f>
        <v>1227.52</v>
      </c>
      <c r="G63" s="109"/>
      <c r="H63" s="171"/>
    </row>
    <row r="64">
      <c r="A64" s="25">
        <v>50.0</v>
      </c>
      <c r="B64" s="25" t="s">
        <v>166</v>
      </c>
      <c r="C64" s="172" t="s">
        <v>100</v>
      </c>
      <c r="D64" s="172" t="s">
        <v>170</v>
      </c>
      <c r="E64" s="173">
        <f>Nacionalizado!D87</f>
        <v>1232</v>
      </c>
      <c r="F64" s="67">
        <f>1120*1.1</f>
        <v>1232</v>
      </c>
      <c r="G64" s="109"/>
      <c r="H64" s="171"/>
    </row>
    <row r="65">
      <c r="A65" s="25">
        <v>51.0</v>
      </c>
      <c r="B65" s="25" t="s">
        <v>171</v>
      </c>
      <c r="C65" s="172" t="s">
        <v>100</v>
      </c>
      <c r="D65" s="172" t="s">
        <v>172</v>
      </c>
      <c r="E65" s="173">
        <f>Nacionalizado!D88</f>
        <v>1276</v>
      </c>
      <c r="F65" s="67">
        <f>1160*1.1</f>
        <v>1276</v>
      </c>
      <c r="G65" s="109"/>
      <c r="H65" s="171"/>
    </row>
    <row r="66">
      <c r="A66" s="25">
        <v>52.0</v>
      </c>
      <c r="B66" s="25" t="s">
        <v>173</v>
      </c>
      <c r="C66" s="172" t="s">
        <v>100</v>
      </c>
      <c r="D66" s="172" t="s">
        <v>174</v>
      </c>
      <c r="E66" s="173">
        <f>Nacionalizado!D89</f>
        <v>1460.8</v>
      </c>
      <c r="F66" s="67">
        <f>1328*1.1</f>
        <v>1460.8</v>
      </c>
      <c r="G66" s="109"/>
      <c r="H66" s="171"/>
    </row>
    <row r="67">
      <c r="A67" s="25">
        <v>53.0</v>
      </c>
      <c r="B67" s="25" t="s">
        <v>153</v>
      </c>
      <c r="C67" s="172" t="s">
        <v>100</v>
      </c>
      <c r="D67" s="172" t="s">
        <v>175</v>
      </c>
      <c r="E67" s="173">
        <f>Nacionalizado!D90</f>
        <v>1842.6</v>
      </c>
      <c r="F67" s="67">
        <f>1660*1.11</f>
        <v>1842.6</v>
      </c>
      <c r="G67" s="109"/>
      <c r="H67" s="171"/>
    </row>
    <row r="68">
      <c r="A68" s="25">
        <v>54.0</v>
      </c>
      <c r="B68" s="25" t="s">
        <v>176</v>
      </c>
      <c r="C68" s="172" t="s">
        <v>73</v>
      </c>
      <c r="D68" s="172" t="s">
        <v>177</v>
      </c>
      <c r="E68" s="173">
        <f>Nacionalizado!D91</f>
        <v>1634.6</v>
      </c>
      <c r="F68" s="67">
        <f>1486*1.1</f>
        <v>1634.6</v>
      </c>
      <c r="G68" s="109"/>
      <c r="H68" s="171"/>
    </row>
    <row r="69">
      <c r="A69" s="25">
        <v>55.0</v>
      </c>
      <c r="B69" s="25" t="s">
        <v>173</v>
      </c>
      <c r="C69" s="172" t="s">
        <v>100</v>
      </c>
      <c r="D69" s="172" t="s">
        <v>178</v>
      </c>
      <c r="E69" s="173">
        <f>Nacionalizado!D92</f>
        <v>2421.9</v>
      </c>
      <c r="F69" s="67">
        <f>2106*1.15</f>
        <v>2421.9</v>
      </c>
      <c r="G69" s="109"/>
      <c r="H69" s="171"/>
    </row>
    <row r="70">
      <c r="A70" s="25">
        <v>56.0</v>
      </c>
      <c r="B70" s="25" t="s">
        <v>179</v>
      </c>
      <c r="C70" s="172" t="s">
        <v>100</v>
      </c>
      <c r="D70" s="172" t="s">
        <v>180</v>
      </c>
      <c r="E70" s="173">
        <f>Nacionalizado!D93</f>
        <v>2442</v>
      </c>
      <c r="F70" s="67">
        <f>2220*1.1</f>
        <v>2442</v>
      </c>
      <c r="G70" s="109"/>
      <c r="H70" s="171"/>
    </row>
    <row r="71">
      <c r="A71" s="25">
        <v>57.0</v>
      </c>
      <c r="B71" s="25" t="s">
        <v>153</v>
      </c>
      <c r="C71" s="172" t="s">
        <v>100</v>
      </c>
      <c r="D71" s="172" t="s">
        <v>181</v>
      </c>
      <c r="E71" s="173">
        <f>Nacionalizado!D94</f>
        <v>3847.8</v>
      </c>
      <c r="F71" s="67">
        <f>3498*1.1</f>
        <v>3847.8</v>
      </c>
      <c r="G71" s="109"/>
      <c r="H71" s="171"/>
    </row>
    <row r="72">
      <c r="A72" s="25">
        <v>58.0</v>
      </c>
      <c r="B72" s="25" t="s">
        <v>173</v>
      </c>
      <c r="C72" s="172" t="s">
        <v>100</v>
      </c>
      <c r="D72" s="172" t="s">
        <v>182</v>
      </c>
      <c r="E72" s="173">
        <f>Nacionalizado!D95</f>
        <v>3907.2</v>
      </c>
      <c r="F72" s="67">
        <f>3520*1.11</f>
        <v>3907.2</v>
      </c>
      <c r="G72" s="109"/>
      <c r="H72" s="171"/>
    </row>
    <row r="73">
      <c r="A73" s="25">
        <v>59.0</v>
      </c>
      <c r="B73" s="25" t="s">
        <v>179</v>
      </c>
      <c r="C73" s="172" t="s">
        <v>100</v>
      </c>
      <c r="D73" s="172" t="s">
        <v>183</v>
      </c>
      <c r="E73" s="173">
        <f>Nacionalizado!D96</f>
        <v>4040.96</v>
      </c>
      <c r="F73" s="67">
        <f>3608*1.12</f>
        <v>4040.96</v>
      </c>
      <c r="G73" s="109"/>
      <c r="H73" s="171"/>
    </row>
    <row r="74">
      <c r="A74" s="25">
        <v>60.0</v>
      </c>
      <c r="B74" s="25" t="s">
        <v>184</v>
      </c>
      <c r="C74" s="172" t="s">
        <v>100</v>
      </c>
      <c r="D74" s="172" t="s">
        <v>185</v>
      </c>
      <c r="E74" s="173">
        <f>Nacionalizado!D97</f>
        <v>2365</v>
      </c>
      <c r="F74" s="67"/>
      <c r="G74" s="109"/>
      <c r="H74" s="171"/>
    </row>
    <row r="75">
      <c r="A75" s="25">
        <v>61.0</v>
      </c>
      <c r="B75" s="25" t="s">
        <v>153</v>
      </c>
      <c r="C75" s="172" t="s">
        <v>100</v>
      </c>
      <c r="D75" s="172" t="s">
        <v>186</v>
      </c>
      <c r="E75" s="173">
        <f>Nacionalizado!D98</f>
        <v>4374.72</v>
      </c>
      <c r="F75" s="67">
        <f>3906*1.12</f>
        <v>4374.72</v>
      </c>
      <c r="G75" s="109"/>
      <c r="H75" s="171"/>
    </row>
    <row r="76">
      <c r="A76" s="25">
        <v>62.0</v>
      </c>
      <c r="B76" s="25" t="s">
        <v>153</v>
      </c>
      <c r="C76" s="172" t="s">
        <v>100</v>
      </c>
      <c r="D76" s="172" t="s">
        <v>187</v>
      </c>
      <c r="E76" s="173">
        <f>Nacionalizado!D99</f>
        <v>195.125</v>
      </c>
      <c r="F76" s="67">
        <f>175*1.115</f>
        <v>195.125</v>
      </c>
      <c r="G76" s="109"/>
      <c r="H76" s="171"/>
    </row>
    <row r="77">
      <c r="A77" s="25">
        <v>63.0</v>
      </c>
      <c r="B77" s="25" t="s">
        <v>153</v>
      </c>
      <c r="C77" s="172" t="s">
        <v>100</v>
      </c>
      <c r="D77" s="172" t="s">
        <v>188</v>
      </c>
      <c r="E77" s="173">
        <f>Nacionalizado!D100</f>
        <v>379.5</v>
      </c>
      <c r="F77" s="67">
        <f>330*1.15</f>
        <v>379.5</v>
      </c>
      <c r="G77" s="109"/>
      <c r="H77" s="171"/>
    </row>
    <row r="78">
      <c r="A78" s="183" t="s">
        <v>23</v>
      </c>
      <c r="B78" s="15"/>
      <c r="C78" s="15"/>
      <c r="D78" s="15"/>
      <c r="E78" s="15"/>
      <c r="F78" s="15"/>
      <c r="G78" s="65"/>
      <c r="H78" s="171"/>
    </row>
    <row r="79">
      <c r="A79" s="25">
        <v>64.0</v>
      </c>
      <c r="B79" s="25" t="s">
        <v>189</v>
      </c>
      <c r="C79" s="172" t="s">
        <v>67</v>
      </c>
      <c r="D79" s="172" t="s">
        <v>190</v>
      </c>
      <c r="E79" s="173">
        <f>Nacionalizado!D102</f>
        <v>2711.83</v>
      </c>
      <c r="F79" s="67">
        <f>2465.3*1.1</f>
        <v>2711.83</v>
      </c>
      <c r="G79" s="109"/>
      <c r="H79" s="171"/>
    </row>
    <row r="80">
      <c r="A80" s="25">
        <v>65.0</v>
      </c>
      <c r="B80" s="25">
        <v>1.0</v>
      </c>
      <c r="C80" s="172" t="s">
        <v>67</v>
      </c>
      <c r="D80" s="172" t="s">
        <v>191</v>
      </c>
      <c r="E80" s="173">
        <f>Nacionalizado!D103</f>
        <v>2937.979</v>
      </c>
      <c r="F80" s="67">
        <f>2670.89*1.1</f>
        <v>2937.979</v>
      </c>
      <c r="G80" s="109"/>
      <c r="H80" s="171"/>
    </row>
    <row r="81">
      <c r="A81" s="25">
        <v>66.0</v>
      </c>
      <c r="B81" s="25" t="s">
        <v>189</v>
      </c>
      <c r="C81" s="172" t="s">
        <v>67</v>
      </c>
      <c r="D81" s="172" t="s">
        <v>192</v>
      </c>
      <c r="E81" s="173">
        <f>Nacionalizado!D104</f>
        <v>5645.893</v>
      </c>
      <c r="F81" s="67">
        <f>5132.63*1.1</f>
        <v>5645.893</v>
      </c>
      <c r="G81" s="109"/>
      <c r="H81" s="171"/>
    </row>
    <row r="82">
      <c r="A82" s="25">
        <v>67.0</v>
      </c>
      <c r="B82" s="25" t="s">
        <v>189</v>
      </c>
      <c r="C82" s="172" t="s">
        <v>67</v>
      </c>
      <c r="D82" s="172" t="s">
        <v>193</v>
      </c>
      <c r="E82" s="173">
        <f>Nacionalizado!D105</f>
        <v>6325</v>
      </c>
      <c r="F82" s="67">
        <f>5500*1.15</f>
        <v>6325</v>
      </c>
      <c r="G82" s="109"/>
      <c r="H82" s="171"/>
    </row>
    <row r="83">
      <c r="A83" s="25">
        <v>68.0</v>
      </c>
      <c r="B83" s="25">
        <v>1.0</v>
      </c>
      <c r="C83" s="172" t="s">
        <v>67</v>
      </c>
      <c r="D83" s="172" t="s">
        <v>194</v>
      </c>
      <c r="E83" s="173">
        <f>Nacionalizado!D106</f>
        <v>9898.9</v>
      </c>
      <c r="F83" s="67">
        <f>8999*1.1</f>
        <v>9898.9</v>
      </c>
      <c r="G83" s="109"/>
      <c r="H83" s="171"/>
    </row>
    <row r="84">
      <c r="A84" s="25">
        <v>69.0</v>
      </c>
      <c r="B84" s="25" t="s">
        <v>189</v>
      </c>
      <c r="C84" s="172" t="s">
        <v>67</v>
      </c>
      <c r="D84" s="172" t="s">
        <v>195</v>
      </c>
      <c r="E84" s="173">
        <f>Nacionalizado!D107</f>
        <v>173.7</v>
      </c>
      <c r="F84" s="67">
        <f>193*0.75*1.2</f>
        <v>173.7</v>
      </c>
      <c r="G84" s="109"/>
      <c r="H84" s="171"/>
    </row>
    <row r="85">
      <c r="A85" s="25">
        <v>70.0</v>
      </c>
      <c r="B85" s="25" t="s">
        <v>189</v>
      </c>
      <c r="C85" s="172" t="s">
        <v>67</v>
      </c>
      <c r="D85" s="172" t="s">
        <v>196</v>
      </c>
      <c r="E85" s="173">
        <f>Nacionalizado!D108</f>
        <v>62.1</v>
      </c>
      <c r="F85" s="67">
        <f>69*0.75*1.2</f>
        <v>62.1</v>
      </c>
      <c r="G85" s="109"/>
      <c r="H85" s="171"/>
    </row>
    <row r="86">
      <c r="A86" s="25">
        <v>71.0</v>
      </c>
      <c r="B86" s="25">
        <v>1.0</v>
      </c>
      <c r="C86" s="172" t="s">
        <v>67</v>
      </c>
      <c r="D86" s="172" t="s">
        <v>197</v>
      </c>
      <c r="E86" s="173">
        <f>Nacionalizado!D109</f>
        <v>152.1</v>
      </c>
      <c r="F86" s="67">
        <f>169*0.75*1.2</f>
        <v>152.1</v>
      </c>
      <c r="G86" s="109"/>
      <c r="H86" s="171"/>
    </row>
    <row r="87">
      <c r="A87" s="183" t="s">
        <v>24</v>
      </c>
      <c r="B87" s="15"/>
      <c r="C87" s="15"/>
      <c r="D87" s="15"/>
      <c r="E87" s="15"/>
      <c r="F87" s="15"/>
      <c r="G87" s="65"/>
      <c r="H87" s="171"/>
    </row>
    <row r="88">
      <c r="A88" s="25">
        <v>72.0</v>
      </c>
      <c r="B88" s="25" t="s">
        <v>198</v>
      </c>
      <c r="C88" s="172" t="s">
        <v>73</v>
      </c>
      <c r="D88" s="172" t="s">
        <v>199</v>
      </c>
      <c r="E88" s="173">
        <f>Nacionalizado!D111</f>
        <v>520.24</v>
      </c>
      <c r="F88" s="67">
        <f>464.5*1.12</f>
        <v>520.24</v>
      </c>
      <c r="G88" s="109"/>
      <c r="H88" s="171"/>
    </row>
    <row r="89">
      <c r="A89" s="25">
        <v>73.0</v>
      </c>
      <c r="B89" s="25" t="s">
        <v>198</v>
      </c>
      <c r="C89" s="172" t="s">
        <v>73</v>
      </c>
      <c r="D89" s="172" t="s">
        <v>200</v>
      </c>
      <c r="E89" s="173">
        <f>Nacionalizado!D112</f>
        <v>322</v>
      </c>
      <c r="F89" s="67">
        <v>322.0</v>
      </c>
      <c r="G89" s="109"/>
      <c r="H89" s="171"/>
    </row>
    <row r="90">
      <c r="A90" s="25">
        <v>74.0</v>
      </c>
      <c r="B90" s="25" t="s">
        <v>201</v>
      </c>
      <c r="C90" s="172" t="s">
        <v>73</v>
      </c>
      <c r="D90" s="172" t="s">
        <v>202</v>
      </c>
      <c r="E90" s="173">
        <f>Nacionalizado!D113</f>
        <v>594.0864</v>
      </c>
      <c r="F90" s="67">
        <v>594.0864</v>
      </c>
      <c r="G90" s="109"/>
      <c r="H90" s="171"/>
    </row>
    <row r="91">
      <c r="A91" s="25">
        <v>75.0</v>
      </c>
      <c r="B91" s="25" t="s">
        <v>201</v>
      </c>
      <c r="C91" s="172" t="s">
        <v>73</v>
      </c>
      <c r="D91" s="172" t="s">
        <v>203</v>
      </c>
      <c r="E91" s="173">
        <f>Nacionalizado!D114</f>
        <v>703.2</v>
      </c>
      <c r="F91" s="67">
        <f>586*1.2</f>
        <v>703.2</v>
      </c>
      <c r="G91" s="109"/>
      <c r="H91" s="171"/>
    </row>
    <row r="92">
      <c r="A92" s="25">
        <v>76.0</v>
      </c>
      <c r="B92" s="25" t="s">
        <v>201</v>
      </c>
      <c r="C92" s="172" t="s">
        <v>73</v>
      </c>
      <c r="D92" s="172" t="s">
        <v>204</v>
      </c>
      <c r="E92" s="173">
        <f>Nacionalizado!D115</f>
        <v>957.6</v>
      </c>
      <c r="F92" s="67">
        <f>798*1.2</f>
        <v>957.6</v>
      </c>
      <c r="G92" s="109"/>
      <c r="H92" s="171"/>
    </row>
    <row r="93">
      <c r="A93" s="25">
        <v>77.0</v>
      </c>
      <c r="B93" s="25" t="s">
        <v>201</v>
      </c>
      <c r="C93" s="172" t="s">
        <v>67</v>
      </c>
      <c r="D93" s="172" t="s">
        <v>205</v>
      </c>
      <c r="E93" s="173">
        <f>Nacionalizado!D116</f>
        <v>900</v>
      </c>
      <c r="F93" s="67">
        <f>998*1.2</f>
        <v>1197.6</v>
      </c>
      <c r="G93" s="109"/>
      <c r="H93" s="171"/>
    </row>
    <row r="94">
      <c r="A94" s="25">
        <v>78.0</v>
      </c>
      <c r="B94" s="25" t="s">
        <v>201</v>
      </c>
      <c r="C94" s="172" t="s">
        <v>67</v>
      </c>
      <c r="D94" s="172" t="s">
        <v>206</v>
      </c>
      <c r="E94" s="173">
        <f>Nacionalizado!D117</f>
        <v>90</v>
      </c>
      <c r="F94" s="67">
        <f>60*1.2</f>
        <v>72</v>
      </c>
      <c r="G94" s="109"/>
      <c r="H94" s="171"/>
    </row>
    <row r="95">
      <c r="A95" s="183" t="s">
        <v>207</v>
      </c>
      <c r="B95" s="15"/>
      <c r="C95" s="15"/>
      <c r="D95" s="15"/>
      <c r="E95" s="15"/>
      <c r="F95" s="15"/>
      <c r="G95" s="65"/>
      <c r="H95" s="171"/>
    </row>
    <row r="96">
      <c r="A96" s="25">
        <v>79.0</v>
      </c>
      <c r="B96" s="25" t="s">
        <v>208</v>
      </c>
      <c r="C96" s="172" t="s">
        <v>67</v>
      </c>
      <c r="D96" s="172" t="s">
        <v>209</v>
      </c>
      <c r="E96" s="173">
        <f>Nacionalizado!D119</f>
        <v>269.5</v>
      </c>
      <c r="F96" s="67">
        <f>275*0.98</f>
        <v>269.5</v>
      </c>
      <c r="G96" s="109"/>
      <c r="H96" s="171"/>
    </row>
    <row r="97">
      <c r="A97" s="25" t="s">
        <v>210</v>
      </c>
      <c r="B97" s="25"/>
      <c r="C97" s="172" t="s">
        <v>211</v>
      </c>
      <c r="D97" s="172" t="s">
        <v>212</v>
      </c>
      <c r="E97" s="173">
        <f>Nacionalizado!D120</f>
        <v>365</v>
      </c>
      <c r="F97" s="67">
        <f>365</f>
        <v>365</v>
      </c>
      <c r="G97" s="109"/>
      <c r="H97" s="171"/>
    </row>
    <row r="98">
      <c r="A98" s="25">
        <v>80.0</v>
      </c>
      <c r="B98" s="25" t="s">
        <v>213</v>
      </c>
      <c r="C98" s="172" t="s">
        <v>67</v>
      </c>
      <c r="D98" s="172" t="s">
        <v>214</v>
      </c>
      <c r="E98" s="173">
        <f>Nacionalizado!D121</f>
        <v>365</v>
      </c>
      <c r="F98" s="67">
        <v>365.0</v>
      </c>
      <c r="G98" s="109"/>
      <c r="H98" s="171"/>
    </row>
    <row r="99">
      <c r="A99" s="25" t="s">
        <v>215</v>
      </c>
      <c r="B99" s="25">
        <v>1.0</v>
      </c>
      <c r="C99" s="172" t="s">
        <v>67</v>
      </c>
      <c r="D99" s="172" t="s">
        <v>216</v>
      </c>
      <c r="E99" s="173">
        <f>Nacionalizado!D122</f>
        <v>525</v>
      </c>
      <c r="F99" s="67">
        <f>525</f>
        <v>525</v>
      </c>
      <c r="G99" s="109"/>
      <c r="H99" s="171"/>
    </row>
    <row r="100">
      <c r="A100" s="25">
        <v>81.0</v>
      </c>
      <c r="B100" s="25" t="s">
        <v>217</v>
      </c>
      <c r="C100" s="172" t="s">
        <v>67</v>
      </c>
      <c r="D100" s="172" t="s">
        <v>218</v>
      </c>
      <c r="E100" s="173">
        <f>Nacionalizado!D123</f>
        <v>805</v>
      </c>
      <c r="F100" s="67">
        <f>700*1.15</f>
        <v>805</v>
      </c>
      <c r="G100" s="109"/>
      <c r="H100" s="171"/>
    </row>
    <row r="101">
      <c r="A101" s="25">
        <v>82.0</v>
      </c>
      <c r="B101" s="25" t="s">
        <v>219</v>
      </c>
      <c r="C101" s="172" t="s">
        <v>67</v>
      </c>
      <c r="D101" s="172" t="s">
        <v>220</v>
      </c>
      <c r="E101" s="173">
        <f>Nacionalizado!D124</f>
        <v>568.4</v>
      </c>
      <c r="F101" s="67">
        <f>580*0.98</f>
        <v>568.4</v>
      </c>
      <c r="G101" s="109"/>
      <c r="H101" s="171"/>
    </row>
    <row r="102">
      <c r="A102" s="25">
        <v>83.0</v>
      </c>
      <c r="B102" s="25" t="s">
        <v>208</v>
      </c>
      <c r="C102" s="172" t="s">
        <v>221</v>
      </c>
      <c r="D102" s="172" t="s">
        <v>222</v>
      </c>
      <c r="E102" s="173">
        <f>Nacionalizado!D125</f>
        <v>597.8</v>
      </c>
      <c r="F102" s="67">
        <f>610*0.98</f>
        <v>597.8</v>
      </c>
      <c r="G102" s="109"/>
      <c r="H102" s="171"/>
    </row>
    <row r="103">
      <c r="A103" s="25">
        <v>84.0</v>
      </c>
      <c r="B103" s="25" t="s">
        <v>217</v>
      </c>
      <c r="C103" s="172" t="s">
        <v>67</v>
      </c>
      <c r="D103" s="172" t="s">
        <v>223</v>
      </c>
      <c r="E103" s="173">
        <f>Nacionalizado!D126</f>
        <v>882</v>
      </c>
      <c r="F103" s="67">
        <f>900*0.98</f>
        <v>882</v>
      </c>
      <c r="G103" s="109"/>
      <c r="H103" s="171"/>
    </row>
    <row r="104">
      <c r="A104" s="25">
        <v>85.0</v>
      </c>
      <c r="B104" s="25" t="s">
        <v>213</v>
      </c>
      <c r="C104" s="172" t="s">
        <v>67</v>
      </c>
      <c r="D104" s="172" t="s">
        <v>224</v>
      </c>
      <c r="E104" s="173">
        <f>Nacionalizado!D127</f>
        <v>980</v>
      </c>
      <c r="F104" s="67">
        <f>1000*0.98</f>
        <v>980</v>
      </c>
      <c r="G104" s="109"/>
      <c r="H104" s="171"/>
    </row>
    <row r="105">
      <c r="A105" s="25">
        <v>86.0</v>
      </c>
      <c r="B105" s="25" t="s">
        <v>225</v>
      </c>
      <c r="C105" s="172" t="s">
        <v>226</v>
      </c>
      <c r="D105" s="172" t="s">
        <v>227</v>
      </c>
      <c r="E105" s="173">
        <f>Nacionalizado!D128</f>
        <v>1803</v>
      </c>
      <c r="F105" s="67">
        <f>847.27*1.2</f>
        <v>1016.724</v>
      </c>
      <c r="G105" s="109"/>
      <c r="H105" s="171"/>
    </row>
    <row r="106">
      <c r="A106" s="25">
        <v>87.0</v>
      </c>
      <c r="B106" s="25">
        <v>1.0</v>
      </c>
      <c r="C106" s="172" t="s">
        <v>73</v>
      </c>
      <c r="D106" s="172" t="s">
        <v>228</v>
      </c>
      <c r="E106" s="173">
        <f>Nacionalizado!D129</f>
        <v>1518.96</v>
      </c>
      <c r="F106" s="67">
        <f>1265.8*1.2</f>
        <v>1518.96</v>
      </c>
      <c r="G106" s="109"/>
      <c r="H106" s="171"/>
    </row>
    <row r="107">
      <c r="A107" s="25">
        <v>88.0</v>
      </c>
      <c r="B107" s="25" t="s">
        <v>229</v>
      </c>
      <c r="C107" s="172" t="s">
        <v>67</v>
      </c>
      <c r="D107" s="172" t="s">
        <v>230</v>
      </c>
      <c r="E107" s="173">
        <f>Nacionalizado!D130</f>
        <v>2352</v>
      </c>
      <c r="F107" s="67">
        <f>2400*0.98</f>
        <v>2352</v>
      </c>
      <c r="G107" s="109"/>
      <c r="H107" s="171"/>
    </row>
    <row r="108">
      <c r="A108" s="25">
        <v>89.0</v>
      </c>
      <c r="B108" s="25">
        <v>1.0</v>
      </c>
      <c r="C108" s="172" t="s">
        <v>67</v>
      </c>
      <c r="D108" s="172" t="s">
        <v>231</v>
      </c>
      <c r="E108" s="173">
        <f>Nacionalizado!D131</f>
        <v>2200</v>
      </c>
      <c r="F108" s="67">
        <f>1921.15*1.25</f>
        <v>2401.4375</v>
      </c>
      <c r="G108" s="109"/>
      <c r="H108" s="171"/>
    </row>
    <row r="109">
      <c r="A109" s="25">
        <v>90.0</v>
      </c>
      <c r="B109" s="25" t="s">
        <v>208</v>
      </c>
      <c r="C109" s="172" t="s">
        <v>221</v>
      </c>
      <c r="D109" s="172" t="s">
        <v>232</v>
      </c>
      <c r="E109" s="173">
        <f>Nacionalizado!D132</f>
        <v>3234</v>
      </c>
      <c r="F109" s="67">
        <f>3300*0.98</f>
        <v>3234</v>
      </c>
      <c r="G109" s="109"/>
      <c r="H109" s="171"/>
    </row>
    <row r="110">
      <c r="A110" s="25">
        <v>91.0</v>
      </c>
      <c r="B110" s="25" t="s">
        <v>233</v>
      </c>
      <c r="C110" s="172" t="s">
        <v>67</v>
      </c>
      <c r="D110" s="172" t="s">
        <v>234</v>
      </c>
      <c r="E110" s="173">
        <f>Nacionalizado!D133</f>
        <v>3724</v>
      </c>
      <c r="F110" s="67">
        <f>3800*0.98</f>
        <v>3724</v>
      </c>
      <c r="G110" s="109"/>
      <c r="H110" s="171"/>
    </row>
    <row r="111">
      <c r="A111" s="25">
        <v>92.0</v>
      </c>
      <c r="B111" s="25" t="s">
        <v>208</v>
      </c>
      <c r="C111" s="172" t="s">
        <v>67</v>
      </c>
      <c r="D111" s="172" t="s">
        <v>235</v>
      </c>
      <c r="E111" s="173">
        <f>Nacionalizado!D134</f>
        <v>4410</v>
      </c>
      <c r="F111" s="67">
        <f>4500*0.98</f>
        <v>4410</v>
      </c>
      <c r="G111" s="109"/>
      <c r="H111" s="171"/>
    </row>
    <row r="112">
      <c r="A112" s="25">
        <v>93.0</v>
      </c>
      <c r="B112" s="25" t="s">
        <v>208</v>
      </c>
      <c r="C112" s="172" t="s">
        <v>67</v>
      </c>
      <c r="D112" s="172" t="s">
        <v>236</v>
      </c>
      <c r="E112" s="173">
        <f>Nacionalizado!D135</f>
        <v>4900</v>
      </c>
      <c r="F112" s="67">
        <f>5000*0.98</f>
        <v>4900</v>
      </c>
      <c r="G112" s="109"/>
      <c r="H112" s="171"/>
    </row>
    <row r="113">
      <c r="A113" s="183" t="s">
        <v>237</v>
      </c>
      <c r="B113" s="15"/>
      <c r="C113" s="15"/>
      <c r="D113" s="15"/>
      <c r="E113" s="15"/>
      <c r="F113" s="15"/>
      <c r="G113" s="65"/>
      <c r="H113" s="171"/>
    </row>
    <row r="114">
      <c r="A114" s="25">
        <v>94.0</v>
      </c>
      <c r="B114" s="25"/>
      <c r="C114" s="172" t="s">
        <v>67</v>
      </c>
      <c r="D114" s="172" t="s">
        <v>238</v>
      </c>
      <c r="E114" s="173">
        <f>Nacionalizado!D137</f>
        <v>138</v>
      </c>
      <c r="F114" s="67">
        <f>120*1.15</f>
        <v>138</v>
      </c>
      <c r="G114" s="109"/>
      <c r="H114" s="171"/>
    </row>
    <row r="115">
      <c r="A115" s="25">
        <v>95.0</v>
      </c>
      <c r="B115" s="25"/>
      <c r="C115" s="172" t="s">
        <v>67</v>
      </c>
      <c r="D115" s="172" t="s">
        <v>239</v>
      </c>
      <c r="E115" s="173">
        <f>Nacionalizado!D138</f>
        <v>144</v>
      </c>
      <c r="F115" s="67">
        <v>144.0</v>
      </c>
      <c r="G115" s="176"/>
      <c r="H115" s="171"/>
    </row>
    <row r="116">
      <c r="A116" s="25">
        <v>96.0</v>
      </c>
      <c r="B116" s="25"/>
      <c r="C116" s="172" t="s">
        <v>67</v>
      </c>
      <c r="D116" s="172" t="s">
        <v>240</v>
      </c>
      <c r="E116" s="173">
        <f>Nacionalizado!D139</f>
        <v>250</v>
      </c>
      <c r="F116" s="67">
        <v>250.0</v>
      </c>
      <c r="G116" s="109"/>
      <c r="H116" s="171"/>
    </row>
    <row r="117">
      <c r="A117" s="25">
        <v>97.0</v>
      </c>
      <c r="B117" s="25"/>
      <c r="C117" s="172" t="s">
        <v>67</v>
      </c>
      <c r="D117" s="172" t="s">
        <v>241</v>
      </c>
      <c r="E117" s="173">
        <f>Nacionalizado!D140</f>
        <v>300</v>
      </c>
      <c r="F117" s="67">
        <v>300.0</v>
      </c>
      <c r="G117" s="109"/>
      <c r="H117" s="171"/>
    </row>
    <row r="118">
      <c r="A118" s="25">
        <v>98.0</v>
      </c>
      <c r="B118" s="25"/>
      <c r="C118" s="172" t="s">
        <v>67</v>
      </c>
      <c r="D118" s="172" t="s">
        <v>242</v>
      </c>
      <c r="E118" s="173">
        <f>Nacionalizado!D141</f>
        <v>350</v>
      </c>
      <c r="F118" s="67">
        <v>350.0</v>
      </c>
      <c r="G118" s="109"/>
      <c r="H118" s="171"/>
    </row>
    <row r="119">
      <c r="A119" s="25">
        <v>99.0</v>
      </c>
      <c r="B119" s="25"/>
      <c r="C119" s="172" t="s">
        <v>67</v>
      </c>
      <c r="D119" s="172" t="s">
        <v>243</v>
      </c>
      <c r="E119" s="173">
        <f>Nacionalizado!D142</f>
        <v>55</v>
      </c>
      <c r="F119" s="67"/>
      <c r="G119" s="109"/>
      <c r="H119" s="171"/>
    </row>
    <row r="120">
      <c r="A120" s="25">
        <v>100.0</v>
      </c>
      <c r="B120" s="25"/>
      <c r="C120" s="172" t="s">
        <v>67</v>
      </c>
      <c r="D120" s="172" t="s">
        <v>244</v>
      </c>
      <c r="E120" s="173">
        <f>Nacionalizado!D143</f>
        <v>120</v>
      </c>
      <c r="F120" s="67"/>
      <c r="G120" s="109"/>
      <c r="H120" s="171"/>
    </row>
    <row r="121">
      <c r="A121" s="183" t="s">
        <v>245</v>
      </c>
      <c r="B121" s="15"/>
      <c r="C121" s="15"/>
      <c r="D121" s="15"/>
      <c r="E121" s="15"/>
      <c r="F121" s="15"/>
      <c r="G121" s="65"/>
      <c r="H121" s="171"/>
    </row>
    <row r="122">
      <c r="A122" s="25">
        <v>101.0</v>
      </c>
      <c r="B122" s="25" t="s">
        <v>246</v>
      </c>
      <c r="C122" s="172" t="s">
        <v>67</v>
      </c>
      <c r="D122" s="172" t="s">
        <v>247</v>
      </c>
      <c r="E122" s="173">
        <f>Nacionalizado!D145</f>
        <v>294.784</v>
      </c>
      <c r="F122" s="80">
        <f>263.2*1.12</f>
        <v>294.784</v>
      </c>
      <c r="G122" s="109"/>
      <c r="H122" s="171"/>
    </row>
    <row r="123">
      <c r="A123" s="25">
        <v>102.0</v>
      </c>
      <c r="B123" s="25" t="s">
        <v>114</v>
      </c>
      <c r="C123" s="172" t="s">
        <v>67</v>
      </c>
      <c r="D123" s="172" t="s">
        <v>248</v>
      </c>
      <c r="E123" s="173">
        <f>Nacionalizado!D146</f>
        <v>402.5</v>
      </c>
      <c r="F123" s="67">
        <f>350*1.15</f>
        <v>402.5</v>
      </c>
      <c r="G123" s="109"/>
      <c r="H123" s="171"/>
    </row>
    <row r="124">
      <c r="A124" s="25">
        <v>103.0</v>
      </c>
      <c r="B124" s="25" t="s">
        <v>95</v>
      </c>
      <c r="C124" s="172" t="s">
        <v>67</v>
      </c>
      <c r="D124" s="172" t="s">
        <v>249</v>
      </c>
      <c r="E124" s="173">
        <f>Nacionalizado!D147</f>
        <v>344.4896</v>
      </c>
      <c r="F124" s="67">
        <f>307.58*1.12</f>
        <v>344.4896</v>
      </c>
      <c r="G124" s="109"/>
      <c r="H124" s="171"/>
    </row>
    <row r="125">
      <c r="A125" s="25">
        <v>104.0</v>
      </c>
      <c r="B125" s="25" t="s">
        <v>250</v>
      </c>
      <c r="C125" s="172" t="s">
        <v>67</v>
      </c>
      <c r="D125" s="172" t="s">
        <v>251</v>
      </c>
      <c r="E125" s="173">
        <f>Nacionalizado!D148</f>
        <v>442.75</v>
      </c>
      <c r="F125" s="67">
        <f>385*1.15</f>
        <v>442.75</v>
      </c>
      <c r="G125" s="109"/>
      <c r="H125" s="171"/>
    </row>
    <row r="126">
      <c r="A126" s="25">
        <v>105.0</v>
      </c>
      <c r="B126" s="25" t="s">
        <v>252</v>
      </c>
      <c r="C126" s="172" t="s">
        <v>67</v>
      </c>
      <c r="D126" s="172" t="s">
        <v>253</v>
      </c>
      <c r="E126" s="173">
        <f>Nacionalizado!D149</f>
        <v>399.84</v>
      </c>
      <c r="F126" s="67">
        <f>420*0.85*1.12</f>
        <v>399.84</v>
      </c>
      <c r="G126" s="109"/>
      <c r="H126" s="171"/>
    </row>
    <row r="127">
      <c r="A127" s="25">
        <v>106.0</v>
      </c>
      <c r="B127" s="25" t="s">
        <v>246</v>
      </c>
      <c r="C127" s="172" t="s">
        <v>73</v>
      </c>
      <c r="D127" s="172" t="s">
        <v>254</v>
      </c>
      <c r="E127" s="173">
        <f>Nacionalizado!D150</f>
        <v>471.1392</v>
      </c>
      <c r="F127" s="67">
        <f>420.66*1.12</f>
        <v>471.1392</v>
      </c>
      <c r="G127" s="109"/>
      <c r="H127" s="171"/>
    </row>
    <row r="128">
      <c r="A128" s="25">
        <v>107.0</v>
      </c>
      <c r="B128" s="25" t="s">
        <v>255</v>
      </c>
      <c r="C128" s="172" t="s">
        <v>67</v>
      </c>
      <c r="D128" s="172" t="s">
        <v>256</v>
      </c>
      <c r="E128" s="173">
        <f>Nacionalizado!D151</f>
        <v>584.545</v>
      </c>
      <c r="F128" s="67">
        <f>508.3*1.15</f>
        <v>584.545</v>
      </c>
      <c r="G128" s="109"/>
      <c r="H128" s="171"/>
    </row>
    <row r="129">
      <c r="A129" s="25">
        <v>108.0</v>
      </c>
      <c r="B129" s="25" t="s">
        <v>257</v>
      </c>
      <c r="C129" s="172" t="s">
        <v>67</v>
      </c>
      <c r="D129" s="172" t="s">
        <v>258</v>
      </c>
      <c r="E129" s="173">
        <f>Nacionalizado!D152</f>
        <v>619.3</v>
      </c>
      <c r="F129" s="67">
        <f>563*1.1</f>
        <v>619.3</v>
      </c>
      <c r="G129" s="109"/>
      <c r="H129" s="171"/>
    </row>
    <row r="130">
      <c r="A130" s="25">
        <v>109.0</v>
      </c>
      <c r="B130" s="25" t="s">
        <v>259</v>
      </c>
      <c r="C130" s="172" t="s">
        <v>73</v>
      </c>
      <c r="D130" s="172" t="s">
        <v>260</v>
      </c>
      <c r="E130" s="173">
        <f>Nacionalizado!D153</f>
        <v>621.656</v>
      </c>
      <c r="F130" s="67">
        <f>653*0.85*1.12</f>
        <v>621.656</v>
      </c>
      <c r="G130" s="109"/>
      <c r="H130" s="171"/>
    </row>
    <row r="131">
      <c r="A131" s="25">
        <v>110.0</v>
      </c>
      <c r="B131" s="25" t="s">
        <v>261</v>
      </c>
      <c r="C131" s="172" t="s">
        <v>67</v>
      </c>
      <c r="D131" s="172" t="s">
        <v>262</v>
      </c>
      <c r="E131" s="173">
        <f>Nacionalizado!D154</f>
        <v>680</v>
      </c>
      <c r="F131" s="67">
        <f>565.06*1.1</f>
        <v>621.566</v>
      </c>
      <c r="G131" s="109"/>
      <c r="H131" s="171"/>
    </row>
    <row r="132">
      <c r="A132" s="25">
        <v>111.0</v>
      </c>
      <c r="B132" s="25" t="s">
        <v>114</v>
      </c>
      <c r="C132" s="172" t="s">
        <v>73</v>
      </c>
      <c r="D132" s="172" t="s">
        <v>263</v>
      </c>
      <c r="E132" s="173">
        <f>Nacionalizado!D155</f>
        <v>1068.1</v>
      </c>
      <c r="F132" s="67">
        <f>971*1.1</f>
        <v>1068.1</v>
      </c>
      <c r="G132" s="109"/>
      <c r="H132" s="171"/>
    </row>
    <row r="133">
      <c r="A133" s="25">
        <v>112.0</v>
      </c>
      <c r="B133" s="25" t="s">
        <v>264</v>
      </c>
      <c r="C133" s="172" t="s">
        <v>67</v>
      </c>
      <c r="D133" s="184" t="s">
        <v>265</v>
      </c>
      <c r="E133" s="173">
        <f>Nacionalizado!D156</f>
        <v>784.38</v>
      </c>
      <c r="F133" s="67">
        <f>769*0.85*1.2</f>
        <v>784.38</v>
      </c>
      <c r="G133" s="109"/>
      <c r="H133" s="171"/>
    </row>
    <row r="134">
      <c r="A134" s="25">
        <v>113.0</v>
      </c>
      <c r="B134" s="25" t="s">
        <v>266</v>
      </c>
      <c r="C134" s="172" t="s">
        <v>67</v>
      </c>
      <c r="D134" s="172" t="s">
        <v>267</v>
      </c>
      <c r="E134" s="173">
        <f>Nacionalizado!D157</f>
        <v>935.2</v>
      </c>
      <c r="F134" s="80">
        <f>835*1.12</f>
        <v>935.2</v>
      </c>
      <c r="G134" s="109"/>
      <c r="H134" s="171"/>
    </row>
    <row r="135">
      <c r="A135" s="25">
        <v>114.0</v>
      </c>
      <c r="B135" s="25" t="s">
        <v>95</v>
      </c>
      <c r="C135" s="172" t="s">
        <v>67</v>
      </c>
      <c r="D135" s="172" t="s">
        <v>268</v>
      </c>
      <c r="E135" s="173">
        <f>Nacionalizado!D158</f>
        <v>1271.809</v>
      </c>
      <c r="F135" s="185">
        <f>1156.19*1.1</f>
        <v>1271.809</v>
      </c>
      <c r="G135" s="109"/>
      <c r="H135" s="171"/>
    </row>
    <row r="136">
      <c r="A136" s="25">
        <v>115.0</v>
      </c>
      <c r="B136" s="25" t="s">
        <v>114</v>
      </c>
      <c r="C136" s="172" t="s">
        <v>67</v>
      </c>
      <c r="D136" s="172" t="s">
        <v>269</v>
      </c>
      <c r="E136" s="173">
        <f>Nacionalizado!D159</f>
        <v>1242</v>
      </c>
      <c r="F136" s="186">
        <f>1150*1.08</f>
        <v>1242</v>
      </c>
      <c r="G136" s="109"/>
      <c r="H136" s="171"/>
    </row>
    <row r="137">
      <c r="A137" s="25">
        <v>116.0</v>
      </c>
      <c r="B137" s="25" t="s">
        <v>270</v>
      </c>
      <c r="C137" s="172" t="s">
        <v>67</v>
      </c>
      <c r="D137" s="172" t="s">
        <v>271</v>
      </c>
      <c r="E137" s="173">
        <f>Nacionalizado!D160</f>
        <v>1237.6</v>
      </c>
      <c r="F137" s="186">
        <f>1105*1.12</f>
        <v>1237.6</v>
      </c>
      <c r="G137" s="109"/>
      <c r="H137" s="171"/>
    </row>
    <row r="138">
      <c r="A138" s="25">
        <v>117.0</v>
      </c>
      <c r="B138" s="25" t="s">
        <v>272</v>
      </c>
      <c r="C138" s="172" t="s">
        <v>67</v>
      </c>
      <c r="D138" s="184" t="s">
        <v>273</v>
      </c>
      <c r="E138" s="173">
        <f>Nacionalizado!D161</f>
        <v>972.1375</v>
      </c>
      <c r="F138" s="186">
        <f>937*0.83*1.25</f>
        <v>972.1375</v>
      </c>
      <c r="G138" s="109"/>
      <c r="H138" s="171"/>
    </row>
    <row r="139">
      <c r="A139" s="25">
        <v>118.0</v>
      </c>
      <c r="B139" s="25" t="s">
        <v>116</v>
      </c>
      <c r="C139" s="172" t="s">
        <v>73</v>
      </c>
      <c r="D139" s="172" t="s">
        <v>274</v>
      </c>
      <c r="E139" s="173">
        <f>Nacionalizado!D162</f>
        <v>1349.205</v>
      </c>
      <c r="F139" s="67">
        <f>1443*0.85*1.1</f>
        <v>1349.205</v>
      </c>
      <c r="G139" s="109"/>
      <c r="H139" s="171"/>
    </row>
    <row r="140">
      <c r="A140" s="25">
        <v>119.0</v>
      </c>
      <c r="B140" s="25" t="s">
        <v>275</v>
      </c>
      <c r="C140" s="172" t="s">
        <v>67</v>
      </c>
      <c r="D140" s="172" t="s">
        <v>276</v>
      </c>
      <c r="E140" s="173">
        <f>Nacionalizado!D163</f>
        <v>1531.2</v>
      </c>
      <c r="F140" s="67">
        <f>1392*1.1</f>
        <v>1531.2</v>
      </c>
      <c r="G140" s="109"/>
      <c r="H140" s="171"/>
    </row>
    <row r="141">
      <c r="A141" s="25">
        <v>120.0</v>
      </c>
      <c r="B141" s="25" t="s">
        <v>272</v>
      </c>
      <c r="C141" s="172" t="s">
        <v>67</v>
      </c>
      <c r="D141" s="184" t="s">
        <v>277</v>
      </c>
      <c r="E141" s="173">
        <f>Nacionalizado!D164</f>
        <v>1372.571</v>
      </c>
      <c r="F141" s="67">
        <f>1438*0.83*1.15</f>
        <v>1372.571</v>
      </c>
      <c r="G141" s="109"/>
      <c r="H141" s="171"/>
    </row>
    <row r="142">
      <c r="A142" s="25">
        <v>121.0</v>
      </c>
      <c r="B142" s="25" t="s">
        <v>278</v>
      </c>
      <c r="C142" s="172" t="s">
        <v>67</v>
      </c>
      <c r="D142" s="172" t="s">
        <v>279</v>
      </c>
      <c r="E142" s="173">
        <f>Nacionalizado!D165</f>
        <v>1657.768</v>
      </c>
      <c r="F142" s="186">
        <f>1480.15*1.12</f>
        <v>1657.768</v>
      </c>
      <c r="G142" s="109"/>
      <c r="H142" s="171"/>
    </row>
    <row r="143">
      <c r="A143" s="25">
        <v>122.0</v>
      </c>
      <c r="B143" s="25" t="s">
        <v>272</v>
      </c>
      <c r="C143" s="172" t="s">
        <v>67</v>
      </c>
      <c r="D143" s="184" t="s">
        <v>280</v>
      </c>
      <c r="E143" s="173">
        <f>Nacionalizado!D166</f>
        <v>1535.666</v>
      </c>
      <c r="F143" s="67">
        <f>1682*0.83*1.1</f>
        <v>1535.666</v>
      </c>
      <c r="G143" s="109"/>
      <c r="H143" s="171"/>
    </row>
    <row r="144">
      <c r="A144" s="25">
        <v>123.0</v>
      </c>
      <c r="B144" s="25" t="s">
        <v>281</v>
      </c>
      <c r="C144" s="172" t="s">
        <v>67</v>
      </c>
      <c r="D144" s="172" t="s">
        <v>282</v>
      </c>
      <c r="E144" s="173">
        <f>Nacionalizado!D167</f>
        <v>1952.9888</v>
      </c>
      <c r="F144" s="186">
        <f>1743.74*1.12</f>
        <v>1952.9888</v>
      </c>
      <c r="G144" s="109"/>
      <c r="H144" s="171"/>
    </row>
    <row r="145">
      <c r="A145" s="25">
        <v>124.0</v>
      </c>
      <c r="B145" s="25" t="s">
        <v>95</v>
      </c>
      <c r="C145" s="172" t="s">
        <v>67</v>
      </c>
      <c r="D145" s="172" t="s">
        <v>283</v>
      </c>
      <c r="E145" s="173">
        <f>Nacionalizado!D168</f>
        <v>2422.651</v>
      </c>
      <c r="F145" s="186">
        <f>2202.41*1.1</f>
        <v>2422.651</v>
      </c>
      <c r="G145" s="109"/>
      <c r="H145" s="171"/>
    </row>
    <row r="146">
      <c r="A146" s="25">
        <v>125.0</v>
      </c>
      <c r="B146" s="25" t="s">
        <v>284</v>
      </c>
      <c r="C146" s="172" t="s">
        <v>67</v>
      </c>
      <c r="D146" s="184" t="s">
        <v>285</v>
      </c>
      <c r="E146" s="173">
        <f>Nacionalizado!D169</f>
        <v>1610</v>
      </c>
      <c r="F146" s="67">
        <f t="shared" ref="F146:F147" si="5">1400*1.15</f>
        <v>1610</v>
      </c>
      <c r="G146" s="109"/>
      <c r="H146" s="171"/>
    </row>
    <row r="147">
      <c r="A147" s="25">
        <v>126.0</v>
      </c>
      <c r="B147" s="25" t="s">
        <v>286</v>
      </c>
      <c r="C147" s="172" t="s">
        <v>67</v>
      </c>
      <c r="D147" s="184" t="s">
        <v>287</v>
      </c>
      <c r="E147" s="173">
        <f>Nacionalizado!D170</f>
        <v>1610</v>
      </c>
      <c r="F147" s="67">
        <f t="shared" si="5"/>
        <v>1610</v>
      </c>
      <c r="G147" s="109"/>
      <c r="H147" s="171"/>
    </row>
    <row r="148">
      <c r="A148" s="25">
        <v>127.0</v>
      </c>
      <c r="B148" s="25" t="s">
        <v>288</v>
      </c>
      <c r="C148" s="172" t="s">
        <v>67</v>
      </c>
      <c r="D148" s="184" t="s">
        <v>289</v>
      </c>
      <c r="E148" s="173">
        <f>Nacionalizado!D171</f>
        <v>1957.14</v>
      </c>
      <c r="F148" s="67">
        <f>1965*0.83*1.2</f>
        <v>1957.14</v>
      </c>
      <c r="G148" s="109"/>
      <c r="H148" s="171"/>
    </row>
    <row r="149">
      <c r="A149" s="25">
        <v>128.0</v>
      </c>
      <c r="B149" s="25" t="s">
        <v>275</v>
      </c>
      <c r="C149" s="172" t="s">
        <v>67</v>
      </c>
      <c r="D149" s="172" t="s">
        <v>290</v>
      </c>
      <c r="E149" s="173">
        <f>Nacionalizado!D172</f>
        <v>3230.92</v>
      </c>
      <c r="F149" s="187">
        <f>2937.2*1.1</f>
        <v>3230.92</v>
      </c>
      <c r="G149" s="109"/>
      <c r="H149" s="171"/>
    </row>
    <row r="150">
      <c r="A150" s="25">
        <v>129.0</v>
      </c>
      <c r="B150" s="25" t="s">
        <v>291</v>
      </c>
      <c r="C150" s="172" t="s">
        <v>67</v>
      </c>
      <c r="D150" s="172" t="s">
        <v>292</v>
      </c>
      <c r="E150" s="173">
        <f>Nacionalizado!D173</f>
        <v>3417.403</v>
      </c>
      <c r="F150" s="187">
        <f>3106.73*1.1</f>
        <v>3417.403</v>
      </c>
      <c r="G150" s="109"/>
      <c r="H150" s="171"/>
    </row>
    <row r="151">
      <c r="A151" s="25">
        <v>130.0</v>
      </c>
      <c r="B151" s="25" t="s">
        <v>114</v>
      </c>
      <c r="C151" s="172" t="s">
        <v>67</v>
      </c>
      <c r="D151" s="172" t="s">
        <v>293</v>
      </c>
      <c r="E151" s="173">
        <f>Nacionalizado!D174</f>
        <v>2968</v>
      </c>
      <c r="F151" s="187">
        <f>2650*1.12</f>
        <v>2968</v>
      </c>
      <c r="G151" s="109"/>
      <c r="H151" s="171"/>
    </row>
    <row r="152">
      <c r="A152" s="25">
        <v>131.0</v>
      </c>
      <c r="B152" s="25" t="s">
        <v>294</v>
      </c>
      <c r="C152" s="172" t="s">
        <v>67</v>
      </c>
      <c r="D152" s="172" t="s">
        <v>295</v>
      </c>
      <c r="E152" s="173">
        <f>Nacionalizado!D175</f>
        <v>3044.8</v>
      </c>
      <c r="F152" s="67">
        <f>2768*1.1</f>
        <v>3044.8</v>
      </c>
      <c r="G152" s="109"/>
      <c r="H152" s="171"/>
    </row>
    <row r="153">
      <c r="A153" s="25">
        <v>132.0</v>
      </c>
      <c r="B153" s="25" t="s">
        <v>296</v>
      </c>
      <c r="C153" s="172" t="s">
        <v>67</v>
      </c>
      <c r="D153" s="184" t="s">
        <v>297</v>
      </c>
      <c r="E153" s="173">
        <f>Nacionalizado!D176</f>
        <v>2501.62</v>
      </c>
      <c r="F153" s="67">
        <f>2740*0.83*1.1</f>
        <v>2501.62</v>
      </c>
      <c r="G153" s="109"/>
      <c r="H153" s="171"/>
    </row>
    <row r="154">
      <c r="A154" s="25">
        <v>133.0</v>
      </c>
      <c r="B154" s="25" t="s">
        <v>264</v>
      </c>
      <c r="C154" s="172" t="s">
        <v>67</v>
      </c>
      <c r="D154" s="184" t="s">
        <v>298</v>
      </c>
      <c r="E154" s="173">
        <f>Nacionalizado!D177</f>
        <v>3261.5265</v>
      </c>
      <c r="F154" s="67">
        <f>3417*0.83*1.15</f>
        <v>3261.5265</v>
      </c>
      <c r="G154" s="109"/>
      <c r="H154" s="171"/>
    </row>
    <row r="155">
      <c r="A155" s="25">
        <v>134.0</v>
      </c>
      <c r="B155" s="25" t="s">
        <v>299</v>
      </c>
      <c r="C155" s="172" t="s">
        <v>67</v>
      </c>
      <c r="D155" s="172" t="s">
        <v>300</v>
      </c>
      <c r="E155" s="173">
        <f>Nacionalizado!D178</f>
        <v>5031.301</v>
      </c>
      <c r="F155" s="67">
        <f>4573.91*1.1</f>
        <v>5031.301</v>
      </c>
      <c r="G155" s="109"/>
      <c r="H155" s="171"/>
    </row>
    <row r="156">
      <c r="A156" s="25">
        <v>135.0</v>
      </c>
      <c r="B156" s="25" t="s">
        <v>301</v>
      </c>
      <c r="C156" s="172" t="s">
        <v>67</v>
      </c>
      <c r="D156" s="172" t="s">
        <v>302</v>
      </c>
      <c r="E156" s="173">
        <f>Nacionalizado!D179</f>
        <v>4240.5888</v>
      </c>
      <c r="F156" s="67">
        <f>3786.24*1.12</f>
        <v>4240.5888</v>
      </c>
      <c r="G156" s="109"/>
      <c r="H156" s="171"/>
    </row>
    <row r="157">
      <c r="A157" s="25">
        <v>136.0</v>
      </c>
      <c r="B157" s="25" t="s">
        <v>303</v>
      </c>
      <c r="C157" s="172" t="s">
        <v>67</v>
      </c>
      <c r="D157" s="184" t="s">
        <v>304</v>
      </c>
      <c r="E157" s="173">
        <f>Nacionalizado!D180</f>
        <v>4291.1</v>
      </c>
      <c r="F157" s="67">
        <f>4700*0.83*1.1</f>
        <v>4291.1</v>
      </c>
      <c r="G157" s="109"/>
      <c r="H157" s="171"/>
    </row>
    <row r="158">
      <c r="A158" s="188" t="s">
        <v>305</v>
      </c>
      <c r="B158" s="15"/>
      <c r="C158" s="15"/>
      <c r="D158" s="15"/>
      <c r="E158" s="15"/>
      <c r="F158" s="15"/>
      <c r="G158" s="65"/>
      <c r="H158" s="171"/>
    </row>
    <row r="159">
      <c r="A159" s="25">
        <v>137.0</v>
      </c>
      <c r="B159" s="25" t="s">
        <v>306</v>
      </c>
      <c r="C159" s="172" t="s">
        <v>67</v>
      </c>
      <c r="D159" s="172" t="s">
        <v>307</v>
      </c>
      <c r="E159" s="173">
        <f>Nacionalizado!D182</f>
        <v>107.952</v>
      </c>
      <c r="F159" s="67">
        <f>89.96*1.2</f>
        <v>107.952</v>
      </c>
      <c r="G159" s="109"/>
      <c r="H159" s="171"/>
    </row>
    <row r="160">
      <c r="A160" s="25">
        <v>138.0</v>
      </c>
      <c r="B160" s="25" t="s">
        <v>264</v>
      </c>
      <c r="C160" s="172" t="s">
        <v>67</v>
      </c>
      <c r="D160" s="172" t="s">
        <v>308</v>
      </c>
      <c r="E160" s="173">
        <f>Nacionalizado!D183</f>
        <v>41.6</v>
      </c>
      <c r="F160" s="67">
        <f t="shared" ref="F160:F161" si="6">32*1.3</f>
        <v>41.6</v>
      </c>
      <c r="G160" s="109"/>
      <c r="H160" s="171"/>
    </row>
    <row r="161">
      <c r="A161" s="25">
        <v>139.0</v>
      </c>
      <c r="B161" s="25" t="s">
        <v>309</v>
      </c>
      <c r="C161" s="172" t="s">
        <v>67</v>
      </c>
      <c r="D161" s="172" t="s">
        <v>310</v>
      </c>
      <c r="E161" s="173">
        <f>Nacionalizado!D184</f>
        <v>41.6</v>
      </c>
      <c r="F161" s="67">
        <f t="shared" si="6"/>
        <v>41.6</v>
      </c>
      <c r="G161" s="109"/>
      <c r="H161" s="171"/>
    </row>
    <row r="162">
      <c r="A162" s="25">
        <v>140.0</v>
      </c>
      <c r="B162" s="25" t="s">
        <v>311</v>
      </c>
      <c r="C162" s="172" t="s">
        <v>67</v>
      </c>
      <c r="D162" s="172" t="s">
        <v>312</v>
      </c>
      <c r="E162" s="173">
        <f>Nacionalizado!D185</f>
        <v>41.08</v>
      </c>
      <c r="F162" s="67">
        <f>31.6*1.3</f>
        <v>41.08</v>
      </c>
      <c r="G162" s="109"/>
      <c r="H162" s="171"/>
    </row>
    <row r="163">
      <c r="A163" s="25">
        <v>141.0</v>
      </c>
      <c r="B163" s="25" t="s">
        <v>95</v>
      </c>
      <c r="C163" s="172" t="s">
        <v>67</v>
      </c>
      <c r="D163" s="172" t="s">
        <v>313</v>
      </c>
      <c r="E163" s="173">
        <f>Nacionalizado!D186</f>
        <v>487.25</v>
      </c>
      <c r="F163" s="67">
        <f>358.02*1.08</f>
        <v>386.6616</v>
      </c>
      <c r="G163" s="109"/>
      <c r="H163" s="171"/>
    </row>
    <row r="164">
      <c r="A164" s="25">
        <v>142.0</v>
      </c>
      <c r="B164" s="25" t="s">
        <v>95</v>
      </c>
      <c r="C164" s="172" t="s">
        <v>67</v>
      </c>
      <c r="D164" s="172" t="s">
        <v>314</v>
      </c>
      <c r="E164" s="173">
        <f>Nacionalizado!D187</f>
        <v>933.12</v>
      </c>
      <c r="F164" s="67">
        <f>864*1.08</f>
        <v>933.12</v>
      </c>
      <c r="G164" s="109"/>
      <c r="H164" s="171"/>
    </row>
    <row r="165">
      <c r="A165" s="25">
        <v>143.0</v>
      </c>
      <c r="B165" s="25" t="s">
        <v>95</v>
      </c>
      <c r="C165" s="172" t="s">
        <v>67</v>
      </c>
      <c r="D165" s="172" t="s">
        <v>315</v>
      </c>
      <c r="E165" s="173">
        <f>Nacionalizado!D188</f>
        <v>350</v>
      </c>
      <c r="F165" s="67">
        <v>350.0</v>
      </c>
      <c r="G165" s="109"/>
      <c r="H165" s="171"/>
    </row>
    <row r="166">
      <c r="A166" s="25">
        <v>144.0</v>
      </c>
      <c r="B166" s="25" t="s">
        <v>116</v>
      </c>
      <c r="C166" s="172" t="s">
        <v>67</v>
      </c>
      <c r="D166" s="172" t="s">
        <v>316</v>
      </c>
      <c r="E166" s="173">
        <f>Nacionalizado!D189</f>
        <v>126</v>
      </c>
      <c r="F166" s="67">
        <f>105*1.2</f>
        <v>126</v>
      </c>
      <c r="G166" s="109"/>
      <c r="H166" s="171"/>
    </row>
    <row r="167">
      <c r="A167" s="25">
        <v>145.0</v>
      </c>
      <c r="B167" s="25" t="s">
        <v>317</v>
      </c>
      <c r="C167" s="172" t="s">
        <v>73</v>
      </c>
      <c r="D167" s="172" t="s">
        <v>318</v>
      </c>
      <c r="E167" s="173">
        <f>Nacionalizado!D190</f>
        <v>258</v>
      </c>
      <c r="F167" s="67">
        <f>215*1.2</f>
        <v>258</v>
      </c>
      <c r="G167" s="109"/>
      <c r="H167" s="171"/>
    </row>
    <row r="168">
      <c r="A168" s="25">
        <v>146.0</v>
      </c>
      <c r="B168" s="25" t="s">
        <v>319</v>
      </c>
      <c r="C168" s="172" t="s">
        <v>67</v>
      </c>
      <c r="D168" s="172" t="s">
        <v>320</v>
      </c>
      <c r="E168" s="173">
        <f>Nacionalizado!D191</f>
        <v>187.746</v>
      </c>
      <c r="F168" s="67">
        <f>174*0.83*1.3</f>
        <v>187.746</v>
      </c>
      <c r="G168" s="176"/>
      <c r="H168" s="171"/>
    </row>
    <row r="169">
      <c r="A169" s="25">
        <v>147.0</v>
      </c>
      <c r="B169" s="25" t="s">
        <v>272</v>
      </c>
      <c r="C169" s="172" t="s">
        <v>67</v>
      </c>
      <c r="D169" s="172" t="s">
        <v>321</v>
      </c>
      <c r="E169" s="173">
        <f>Nacionalizado!D192</f>
        <v>258.96</v>
      </c>
      <c r="F169" s="67">
        <f>260*0.83*1.2</f>
        <v>258.96</v>
      </c>
      <c r="G169" s="109"/>
      <c r="H169" s="171"/>
    </row>
    <row r="170">
      <c r="A170" s="25">
        <v>148.0</v>
      </c>
      <c r="B170" s="25" t="s">
        <v>272</v>
      </c>
      <c r="C170" s="172" t="s">
        <v>67</v>
      </c>
      <c r="D170" s="172" t="s">
        <v>322</v>
      </c>
      <c r="E170" s="173">
        <f>Nacionalizado!D193</f>
        <v>239.04</v>
      </c>
      <c r="F170" s="67">
        <f>240*0.83*1.2</f>
        <v>239.04</v>
      </c>
      <c r="G170" s="109"/>
      <c r="H170" s="171"/>
    </row>
    <row r="171">
      <c r="A171" s="25">
        <v>149.0</v>
      </c>
      <c r="B171" s="25" t="s">
        <v>116</v>
      </c>
      <c r="C171" s="172" t="s">
        <v>67</v>
      </c>
      <c r="D171" s="172" t="s">
        <v>323</v>
      </c>
      <c r="E171" s="173">
        <f>Nacionalizado!D194</f>
        <v>655.2</v>
      </c>
      <c r="F171" s="67">
        <f>546*1.2</f>
        <v>655.2</v>
      </c>
      <c r="G171" s="109"/>
      <c r="H171" s="171"/>
    </row>
    <row r="172">
      <c r="A172" s="25">
        <v>150.0</v>
      </c>
      <c r="B172" s="25" t="s">
        <v>184</v>
      </c>
      <c r="C172" s="172" t="s">
        <v>67</v>
      </c>
      <c r="D172" s="172" t="s">
        <v>324</v>
      </c>
      <c r="E172" s="173">
        <f>Nacionalizado!D195</f>
        <v>747</v>
      </c>
      <c r="F172" s="67">
        <f>750*0.83*1.2</f>
        <v>747</v>
      </c>
      <c r="G172" s="109"/>
      <c r="H172" s="171"/>
    </row>
    <row r="173">
      <c r="A173" s="189" t="s">
        <v>29</v>
      </c>
      <c r="B173" s="15"/>
      <c r="C173" s="15"/>
      <c r="D173" s="15"/>
      <c r="E173" s="15"/>
      <c r="F173" s="15"/>
      <c r="G173" s="65"/>
      <c r="H173" s="171"/>
    </row>
    <row r="174">
      <c r="A174" s="25">
        <v>151.0</v>
      </c>
      <c r="B174" s="190" t="s">
        <v>325</v>
      </c>
      <c r="C174" s="172" t="s">
        <v>67</v>
      </c>
      <c r="D174" s="172" t="s">
        <v>326</v>
      </c>
      <c r="E174" s="173">
        <f>Nacionalizado!D197</f>
        <v>377.982</v>
      </c>
      <c r="F174" s="67">
        <f>328.68*1.15</f>
        <v>377.982</v>
      </c>
      <c r="G174" s="109"/>
      <c r="H174" s="171"/>
    </row>
    <row r="175">
      <c r="A175" s="25">
        <v>152.0</v>
      </c>
      <c r="B175" s="190" t="s">
        <v>327</v>
      </c>
      <c r="C175" s="172" t="s">
        <v>67</v>
      </c>
      <c r="D175" s="172" t="s">
        <v>328</v>
      </c>
      <c r="E175" s="173">
        <f>Nacionalizado!D198</f>
        <v>425.25</v>
      </c>
      <c r="F175" s="67">
        <f>340.2*1.25</f>
        <v>425.25</v>
      </c>
      <c r="G175" s="109"/>
      <c r="H175" s="171"/>
    </row>
    <row r="176">
      <c r="A176" s="25">
        <v>153.0</v>
      </c>
      <c r="B176" s="25" t="s">
        <v>329</v>
      </c>
      <c r="C176" s="172" t="s">
        <v>67</v>
      </c>
      <c r="D176" s="172" t="s">
        <v>330</v>
      </c>
      <c r="E176" s="173">
        <f>Nacionalizado!D199</f>
        <v>407</v>
      </c>
      <c r="F176" s="67">
        <f>407</f>
        <v>407</v>
      </c>
      <c r="G176" s="176" t="s">
        <v>331</v>
      </c>
      <c r="H176" s="171"/>
    </row>
    <row r="177">
      <c r="A177" s="25">
        <v>154.0</v>
      </c>
      <c r="B177" s="25" t="s">
        <v>114</v>
      </c>
      <c r="C177" s="172" t="s">
        <v>67</v>
      </c>
      <c r="D177" s="172" t="s">
        <v>332</v>
      </c>
      <c r="E177" s="173">
        <f>Nacionalizado!D200</f>
        <v>692.52</v>
      </c>
      <c r="F177" s="67">
        <f>577.1*1.2</f>
        <v>692.52</v>
      </c>
      <c r="G177" s="109"/>
      <c r="H177" s="171"/>
    </row>
    <row r="178">
      <c r="A178" s="25">
        <v>155.0</v>
      </c>
      <c r="B178" s="25" t="s">
        <v>333</v>
      </c>
      <c r="C178" s="172" t="s">
        <v>67</v>
      </c>
      <c r="D178" s="172" t="s">
        <v>334</v>
      </c>
      <c r="E178" s="173">
        <f>Nacionalizado!D201</f>
        <v>482.0225</v>
      </c>
      <c r="F178" s="67">
        <f>419.15*1.15</f>
        <v>482.0225</v>
      </c>
      <c r="G178" s="109"/>
      <c r="H178" s="171"/>
    </row>
    <row r="179">
      <c r="A179" s="25">
        <v>156.0</v>
      </c>
      <c r="B179" s="25" t="s">
        <v>306</v>
      </c>
      <c r="C179" s="172" t="s">
        <v>67</v>
      </c>
      <c r="D179" s="172" t="s">
        <v>335</v>
      </c>
      <c r="E179" s="173">
        <f>Nacionalizado!D202</f>
        <v>562.716</v>
      </c>
      <c r="F179" s="187">
        <f>539*0.87*1.2</f>
        <v>562.716</v>
      </c>
      <c r="G179" s="176"/>
      <c r="H179" s="171"/>
    </row>
    <row r="180">
      <c r="A180" s="189" t="s">
        <v>30</v>
      </c>
      <c r="B180" s="15"/>
      <c r="C180" s="15"/>
      <c r="D180" s="15"/>
      <c r="E180" s="15"/>
      <c r="F180" s="15"/>
      <c r="G180" s="65"/>
      <c r="H180" s="171"/>
    </row>
    <row r="181">
      <c r="A181" s="25">
        <v>157.0</v>
      </c>
      <c r="B181" s="25" t="s">
        <v>336</v>
      </c>
      <c r="C181" s="172" t="s">
        <v>100</v>
      </c>
      <c r="D181" s="172" t="s">
        <v>337</v>
      </c>
      <c r="E181" s="173">
        <f>Nacionalizado!D204</f>
        <v>700</v>
      </c>
      <c r="F181" s="187">
        <f>718*1.13</f>
        <v>811.34</v>
      </c>
      <c r="G181" s="109"/>
      <c r="H181" s="171"/>
    </row>
    <row r="182">
      <c r="A182" s="189" t="s">
        <v>31</v>
      </c>
      <c r="B182" s="15"/>
      <c r="C182" s="15"/>
      <c r="D182" s="15"/>
      <c r="E182" s="15"/>
      <c r="F182" s="15"/>
      <c r="G182" s="65"/>
      <c r="H182" s="171"/>
    </row>
    <row r="183">
      <c r="A183" s="25">
        <v>158.0</v>
      </c>
      <c r="B183" s="25" t="s">
        <v>208</v>
      </c>
      <c r="C183" s="172" t="s">
        <v>221</v>
      </c>
      <c r="D183" s="172" t="s">
        <v>338</v>
      </c>
      <c r="E183" s="173">
        <f>Nacionalizado!D206</f>
        <v>1300</v>
      </c>
      <c r="F183" s="187">
        <v>1300.0</v>
      </c>
      <c r="G183" s="109"/>
      <c r="H183" s="171"/>
    </row>
    <row r="184">
      <c r="A184" s="25">
        <v>159.0</v>
      </c>
      <c r="B184" s="25" t="s">
        <v>208</v>
      </c>
      <c r="C184" s="172" t="s">
        <v>221</v>
      </c>
      <c r="D184" s="172" t="s">
        <v>339</v>
      </c>
      <c r="E184" s="173">
        <f>Nacionalizado!D207</f>
        <v>800</v>
      </c>
      <c r="F184" s="187">
        <v>800.0</v>
      </c>
      <c r="G184" s="109"/>
      <c r="H184" s="171"/>
    </row>
    <row r="185">
      <c r="A185" s="25">
        <v>160.0</v>
      </c>
      <c r="B185" s="25" t="s">
        <v>208</v>
      </c>
      <c r="C185" s="172" t="s">
        <v>67</v>
      </c>
      <c r="D185" s="172" t="s">
        <v>340</v>
      </c>
      <c r="E185" s="173">
        <f>Nacionalizado!D208</f>
        <v>588</v>
      </c>
      <c r="F185" s="187">
        <f>600*0.98</f>
        <v>588</v>
      </c>
      <c r="G185" s="109"/>
      <c r="H185" s="171"/>
    </row>
    <row r="186">
      <c r="A186" s="191" t="s">
        <v>32</v>
      </c>
      <c r="B186" s="15"/>
      <c r="C186" s="15"/>
      <c r="D186" s="15"/>
      <c r="E186" s="15"/>
      <c r="F186" s="15"/>
      <c r="G186" s="65"/>
      <c r="H186" s="171"/>
    </row>
    <row r="187">
      <c r="A187" s="25">
        <v>161.0</v>
      </c>
      <c r="B187" s="25" t="s">
        <v>341</v>
      </c>
      <c r="C187" s="172" t="s">
        <v>342</v>
      </c>
      <c r="D187" s="172" t="s">
        <v>343</v>
      </c>
      <c r="E187" s="173">
        <f>Nacionalizado!D210</f>
        <v>1955</v>
      </c>
      <c r="F187" s="92">
        <f>1700*1.15</f>
        <v>1955</v>
      </c>
      <c r="G187" s="109"/>
      <c r="H187" s="171"/>
    </row>
    <row r="188">
      <c r="A188" s="25">
        <v>162.0</v>
      </c>
      <c r="B188" s="25" t="s">
        <v>184</v>
      </c>
      <c r="C188" s="172" t="s">
        <v>342</v>
      </c>
      <c r="D188" s="172" t="s">
        <v>344</v>
      </c>
      <c r="E188" s="173">
        <f>Nacionalizado!D211</f>
        <v>1093.4</v>
      </c>
      <c r="F188" s="92">
        <f>994*1.1</f>
        <v>1093.4</v>
      </c>
      <c r="G188" s="109"/>
      <c r="H188" s="171"/>
    </row>
    <row r="189">
      <c r="A189" s="25">
        <v>163.0</v>
      </c>
      <c r="B189" s="25" t="s">
        <v>114</v>
      </c>
      <c r="C189" s="172" t="s">
        <v>342</v>
      </c>
      <c r="D189" s="172" t="s">
        <v>345</v>
      </c>
      <c r="E189" s="173">
        <f>Nacionalizado!D212</f>
        <v>1251.2</v>
      </c>
      <c r="F189" s="92">
        <f>1088*1.15</f>
        <v>1251.2</v>
      </c>
      <c r="G189" s="109"/>
      <c r="H189" s="171"/>
    </row>
    <row r="190">
      <c r="A190" s="25">
        <v>164.0</v>
      </c>
      <c r="B190" s="25" t="s">
        <v>114</v>
      </c>
      <c r="C190" s="172" t="s">
        <v>342</v>
      </c>
      <c r="D190" s="172" t="s">
        <v>346</v>
      </c>
      <c r="E190" s="173">
        <f>Nacionalizado!D213</f>
        <v>2035</v>
      </c>
      <c r="F190" s="92">
        <f>1850*1.1</f>
        <v>2035</v>
      </c>
      <c r="G190" s="109"/>
      <c r="H190" s="171"/>
    </row>
    <row r="191">
      <c r="A191" s="25">
        <v>165.0</v>
      </c>
      <c r="B191" s="25" t="s">
        <v>296</v>
      </c>
      <c r="C191" s="172" t="s">
        <v>342</v>
      </c>
      <c r="D191" s="172" t="s">
        <v>347</v>
      </c>
      <c r="E191" s="173">
        <f>Nacionalizado!D214</f>
        <v>1747.2</v>
      </c>
      <c r="F191" s="92">
        <f>1560*1.12</f>
        <v>1747.2</v>
      </c>
      <c r="G191" s="109"/>
      <c r="H191" s="171"/>
    </row>
    <row r="192">
      <c r="A192" s="25">
        <v>166.0</v>
      </c>
      <c r="B192" s="25"/>
      <c r="C192" s="172" t="s">
        <v>342</v>
      </c>
      <c r="D192" s="172" t="s">
        <v>348</v>
      </c>
      <c r="E192" s="173">
        <f>Nacionalizado!D215</f>
        <v>2856</v>
      </c>
      <c r="F192" s="92">
        <f>2550*1.12</f>
        <v>2856</v>
      </c>
      <c r="G192" s="109"/>
      <c r="H192" s="171"/>
    </row>
    <row r="193">
      <c r="A193" s="25">
        <v>167.0</v>
      </c>
      <c r="B193" s="25"/>
      <c r="C193" s="172" t="s">
        <v>342</v>
      </c>
      <c r="D193" s="172" t="s">
        <v>349</v>
      </c>
      <c r="E193" s="173">
        <f>Nacionalizado!D216</f>
        <v>3252.48</v>
      </c>
      <c r="F193" s="92">
        <f>2904*1.12</f>
        <v>3252.48</v>
      </c>
      <c r="G193" s="109"/>
      <c r="H193" s="171"/>
    </row>
    <row r="194">
      <c r="A194" s="191" t="s">
        <v>350</v>
      </c>
      <c r="B194" s="15"/>
      <c r="C194" s="15"/>
      <c r="D194" s="15"/>
      <c r="E194" s="15"/>
      <c r="F194" s="15"/>
      <c r="G194" s="65"/>
      <c r="H194" s="171"/>
    </row>
    <row r="195">
      <c r="A195" s="25">
        <v>168.0</v>
      </c>
      <c r="B195" s="25"/>
      <c r="C195" s="172" t="s">
        <v>221</v>
      </c>
      <c r="D195" s="172" t="s">
        <v>338</v>
      </c>
      <c r="E195" s="173">
        <f>Nacionalizado!D218</f>
        <v>1300</v>
      </c>
      <c r="F195" s="92">
        <v>1300.0</v>
      </c>
      <c r="G195" s="109"/>
      <c r="H195" s="171"/>
    </row>
    <row r="196">
      <c r="A196" s="25">
        <v>169.0</v>
      </c>
      <c r="B196" s="25"/>
      <c r="C196" s="172" t="s">
        <v>67</v>
      </c>
      <c r="D196" s="172" t="s">
        <v>351</v>
      </c>
      <c r="E196" s="173">
        <f>Nacionalizado!D219</f>
        <v>750</v>
      </c>
      <c r="F196" s="92">
        <f>750</f>
        <v>750</v>
      </c>
      <c r="G196" s="109"/>
      <c r="H196" s="171"/>
    </row>
    <row r="197">
      <c r="A197" s="25">
        <v>170.0</v>
      </c>
      <c r="B197" s="25"/>
      <c r="C197" s="172" t="s">
        <v>67</v>
      </c>
      <c r="D197" s="172" t="s">
        <v>352</v>
      </c>
      <c r="E197" s="173">
        <f>Nacionalizado!D220</f>
        <v>3253.6</v>
      </c>
      <c r="F197" s="92">
        <f>3320*0.98</f>
        <v>3253.6</v>
      </c>
      <c r="G197" s="109"/>
      <c r="H197" s="171"/>
    </row>
    <row r="198">
      <c r="A198" s="25">
        <v>171.0</v>
      </c>
      <c r="B198" s="25"/>
      <c r="C198" s="172" t="s">
        <v>211</v>
      </c>
      <c r="D198" s="172" t="s">
        <v>353</v>
      </c>
      <c r="E198" s="173">
        <f>Nacionalizado!D221</f>
        <v>6223</v>
      </c>
      <c r="F198" s="92">
        <f>6350*0.98</f>
        <v>6223</v>
      </c>
      <c r="G198" s="109"/>
      <c r="H198" s="171"/>
    </row>
    <row r="199">
      <c r="A199" s="25">
        <v>172.0</v>
      </c>
      <c r="B199" s="25"/>
      <c r="C199" s="172" t="s">
        <v>67</v>
      </c>
      <c r="D199" s="172" t="s">
        <v>354</v>
      </c>
      <c r="E199" s="173">
        <f>Nacionalizado!D222</f>
        <v>1666</v>
      </c>
      <c r="F199" s="92">
        <f>1700*0.98</f>
        <v>1666</v>
      </c>
      <c r="G199" s="109"/>
      <c r="H199" s="171"/>
    </row>
    <row r="200">
      <c r="A200" s="25">
        <v>173.0</v>
      </c>
      <c r="B200" s="25"/>
      <c r="C200" s="172" t="s">
        <v>67</v>
      </c>
      <c r="D200" s="172" t="s">
        <v>355</v>
      </c>
      <c r="E200" s="173">
        <f>Nacionalizado!D223</f>
        <v>5390</v>
      </c>
      <c r="F200" s="92">
        <f>5500*0.98</f>
        <v>5390</v>
      </c>
      <c r="G200" s="109"/>
      <c r="H200" s="171"/>
    </row>
    <row r="201">
      <c r="A201" s="25">
        <v>174.0</v>
      </c>
      <c r="B201" s="25"/>
      <c r="C201" s="172" t="s">
        <v>211</v>
      </c>
      <c r="D201" s="172" t="s">
        <v>356</v>
      </c>
      <c r="E201" s="173">
        <f>Nacionalizado!D224</f>
        <v>3038</v>
      </c>
      <c r="F201" s="92">
        <f>3100*0.98</f>
        <v>3038</v>
      </c>
      <c r="G201" s="109"/>
      <c r="H201" s="171"/>
    </row>
    <row r="202">
      <c r="A202" s="25">
        <v>175.0</v>
      </c>
      <c r="B202" s="25"/>
      <c r="C202" s="172" t="s">
        <v>67</v>
      </c>
      <c r="D202" s="172" t="s">
        <v>357</v>
      </c>
      <c r="E202" s="173">
        <f>Nacionalizado!D225</f>
        <v>1004.5</v>
      </c>
      <c r="F202" s="92">
        <f t="shared" ref="F202:F203" si="7">1025*0.98</f>
        <v>1004.5</v>
      </c>
      <c r="G202" s="109"/>
      <c r="H202" s="171"/>
    </row>
    <row r="203">
      <c r="A203" s="25">
        <v>176.0</v>
      </c>
      <c r="B203" s="25"/>
      <c r="C203" s="172" t="s">
        <v>67</v>
      </c>
      <c r="D203" s="172" t="s">
        <v>358</v>
      </c>
      <c r="E203" s="173">
        <f>Nacionalizado!D226</f>
        <v>1004.5</v>
      </c>
      <c r="F203" s="92">
        <f t="shared" si="7"/>
        <v>1004.5</v>
      </c>
      <c r="G203" s="109"/>
      <c r="H203" s="171"/>
    </row>
    <row r="204">
      <c r="A204" s="25">
        <v>177.0</v>
      </c>
      <c r="B204" s="25"/>
      <c r="C204" s="172" t="s">
        <v>67</v>
      </c>
      <c r="D204" s="172" t="s">
        <v>359</v>
      </c>
      <c r="E204" s="173">
        <f>Nacionalizado!D227</f>
        <v>1078</v>
      </c>
      <c r="F204" s="192">
        <f>1100*0.98</f>
        <v>1078</v>
      </c>
      <c r="G204" s="109"/>
      <c r="H204" s="171"/>
    </row>
    <row r="205">
      <c r="A205" s="25">
        <v>178.0</v>
      </c>
      <c r="B205" s="25"/>
      <c r="C205" s="172" t="s">
        <v>360</v>
      </c>
      <c r="D205" s="172" t="s">
        <v>361</v>
      </c>
      <c r="E205" s="173">
        <f>Nacionalizado!D228</f>
        <v>1225</v>
      </c>
      <c r="F205" s="92">
        <f>1250*0.98</f>
        <v>1225</v>
      </c>
      <c r="G205" s="109"/>
      <c r="H205" s="171"/>
    </row>
    <row r="206">
      <c r="A206" s="25">
        <v>181.0</v>
      </c>
      <c r="B206" s="25" t="s">
        <v>362</v>
      </c>
      <c r="C206" s="172" t="s">
        <v>67</v>
      </c>
      <c r="D206" s="172" t="s">
        <v>363</v>
      </c>
      <c r="E206" s="173">
        <f>Nacionalizado!D229</f>
        <v>1531.2</v>
      </c>
      <c r="F206" s="92">
        <f>1392*1.1</f>
        <v>1531.2</v>
      </c>
      <c r="G206" s="109"/>
      <c r="H206" s="171"/>
    </row>
    <row r="207">
      <c r="A207" s="25">
        <v>180.0</v>
      </c>
      <c r="B207" s="25" t="s">
        <v>364</v>
      </c>
      <c r="C207" s="172" t="s">
        <v>221</v>
      </c>
      <c r="D207" s="172" t="s">
        <v>365</v>
      </c>
      <c r="E207" s="173">
        <f>Nacionalizado!D230</f>
        <v>2184</v>
      </c>
      <c r="F207" s="92">
        <f>1820*1.2</f>
        <v>2184</v>
      </c>
      <c r="G207" s="109"/>
      <c r="H207" s="171"/>
    </row>
    <row r="208">
      <c r="A208" s="25">
        <v>182.0</v>
      </c>
      <c r="B208" s="25"/>
      <c r="C208" s="172" t="s">
        <v>67</v>
      </c>
      <c r="D208" s="172" t="s">
        <v>366</v>
      </c>
      <c r="E208" s="173">
        <f>Nacionalizado!D231</f>
        <v>2205</v>
      </c>
      <c r="F208" s="92">
        <f>2250*0.98</f>
        <v>2205</v>
      </c>
      <c r="G208" s="109"/>
      <c r="H208" s="171"/>
    </row>
    <row r="209">
      <c r="A209" s="25">
        <v>183.0</v>
      </c>
      <c r="B209" s="25" t="s">
        <v>367</v>
      </c>
      <c r="C209" s="172" t="s">
        <v>67</v>
      </c>
      <c r="D209" s="172" t="s">
        <v>368</v>
      </c>
      <c r="E209" s="173">
        <f>Nacionalizado!D232</f>
        <v>2401</v>
      </c>
      <c r="F209" s="92">
        <f t="shared" ref="F209:F210" si="8">2450*0.98</f>
        <v>2401</v>
      </c>
      <c r="G209" s="109"/>
      <c r="H209" s="171"/>
    </row>
    <row r="210">
      <c r="A210" s="25">
        <v>184.0</v>
      </c>
      <c r="B210" s="25" t="s">
        <v>369</v>
      </c>
      <c r="C210" s="172" t="s">
        <v>67</v>
      </c>
      <c r="D210" s="172" t="s">
        <v>370</v>
      </c>
      <c r="E210" s="173">
        <f>Nacionalizado!D233</f>
        <v>2401</v>
      </c>
      <c r="F210" s="92">
        <f t="shared" si="8"/>
        <v>2401</v>
      </c>
      <c r="G210" s="109"/>
      <c r="H210" s="171"/>
    </row>
    <row r="211">
      <c r="A211" s="25">
        <v>185.0</v>
      </c>
      <c r="B211" s="25" t="s">
        <v>371</v>
      </c>
      <c r="C211" s="172" t="s">
        <v>67</v>
      </c>
      <c r="D211" s="172" t="s">
        <v>372</v>
      </c>
      <c r="E211" s="173">
        <f>Nacionalizado!D234</f>
        <v>2499</v>
      </c>
      <c r="F211" s="92">
        <f>2550*0.98</f>
        <v>2499</v>
      </c>
      <c r="G211" s="109"/>
      <c r="H211" s="171"/>
    </row>
    <row r="212">
      <c r="A212" s="25">
        <v>186.0</v>
      </c>
      <c r="B212" s="25" t="s">
        <v>373</v>
      </c>
      <c r="C212" s="172" t="s">
        <v>67</v>
      </c>
      <c r="D212" s="172" t="s">
        <v>374</v>
      </c>
      <c r="E212" s="173">
        <f>Nacionalizado!D235</f>
        <v>2793</v>
      </c>
      <c r="F212" s="92">
        <f>2850*0.98</f>
        <v>2793</v>
      </c>
      <c r="G212" s="109"/>
      <c r="H212" s="171"/>
    </row>
    <row r="213">
      <c r="A213" s="25">
        <v>187.0</v>
      </c>
      <c r="B213" s="25" t="s">
        <v>375</v>
      </c>
      <c r="C213" s="172" t="s">
        <v>67</v>
      </c>
      <c r="D213" s="172" t="s">
        <v>376</v>
      </c>
      <c r="E213" s="173">
        <f>Nacionalizado!D236</f>
        <v>3822</v>
      </c>
      <c r="F213" s="192">
        <f>3900*0.98</f>
        <v>3822</v>
      </c>
      <c r="G213" s="109"/>
      <c r="H213" s="171"/>
    </row>
    <row r="214">
      <c r="A214" s="25">
        <v>188.0</v>
      </c>
      <c r="B214" s="25" t="s">
        <v>377</v>
      </c>
      <c r="C214" s="172" t="s">
        <v>67</v>
      </c>
      <c r="D214" s="172" t="s">
        <v>378</v>
      </c>
      <c r="E214" s="173">
        <f>Nacionalizado!D237</f>
        <v>6664</v>
      </c>
      <c r="F214" s="192">
        <f>6800*0.98</f>
        <v>6664</v>
      </c>
      <c r="G214" s="109"/>
      <c r="H214" s="171"/>
    </row>
    <row r="215">
      <c r="A215" s="25">
        <v>189.0</v>
      </c>
      <c r="B215" s="25" t="s">
        <v>377</v>
      </c>
      <c r="C215" s="172" t="s">
        <v>67</v>
      </c>
      <c r="D215" s="172" t="s">
        <v>379</v>
      </c>
      <c r="E215" s="173">
        <f>Nacionalizado!D238</f>
        <v>2567.6</v>
      </c>
      <c r="F215" s="92">
        <f>2620*0.98</f>
        <v>2567.6</v>
      </c>
      <c r="G215" s="109"/>
      <c r="H215" s="171"/>
    </row>
    <row r="216">
      <c r="A216" s="25">
        <v>190.0</v>
      </c>
      <c r="B216" s="25"/>
      <c r="C216" s="172" t="s">
        <v>67</v>
      </c>
      <c r="D216" s="172" t="s">
        <v>380</v>
      </c>
      <c r="E216" s="173">
        <f>Nacionalizado!D239</f>
        <v>10351.25</v>
      </c>
      <c r="F216" s="92">
        <f>10562.5*0.98</f>
        <v>10351.25</v>
      </c>
      <c r="G216" s="109"/>
      <c r="H216" s="171"/>
    </row>
    <row r="217">
      <c r="A217" s="25">
        <v>191.0</v>
      </c>
      <c r="B217" s="25"/>
      <c r="C217" s="172" t="s">
        <v>67</v>
      </c>
      <c r="D217" s="172" t="s">
        <v>381</v>
      </c>
      <c r="E217" s="173">
        <f>Nacionalizado!D240</f>
        <v>3479</v>
      </c>
      <c r="F217" s="92">
        <f>3550*0.98</f>
        <v>3479</v>
      </c>
      <c r="G217" s="109"/>
      <c r="H217" s="171"/>
    </row>
    <row r="218">
      <c r="A218" s="25" t="s">
        <v>382</v>
      </c>
      <c r="B218" s="25"/>
      <c r="C218" s="172" t="s">
        <v>67</v>
      </c>
      <c r="D218" s="172" t="s">
        <v>383</v>
      </c>
      <c r="E218" s="173">
        <f>Nacionalizado!D241</f>
        <v>1666</v>
      </c>
      <c r="F218" s="92">
        <f>1700*0.98</f>
        <v>1666</v>
      </c>
      <c r="G218" s="109"/>
      <c r="H218" s="171"/>
    </row>
    <row r="219">
      <c r="A219" s="25">
        <v>192.0</v>
      </c>
      <c r="B219" s="25"/>
      <c r="C219" s="172" t="s">
        <v>73</v>
      </c>
      <c r="D219" s="172" t="s">
        <v>384</v>
      </c>
      <c r="E219" s="173">
        <f>Nacionalizado!D242</f>
        <v>2548</v>
      </c>
      <c r="F219" s="92">
        <f>2548</f>
        <v>2548</v>
      </c>
      <c r="G219" s="109"/>
      <c r="H219" s="171"/>
    </row>
    <row r="220">
      <c r="A220" s="25">
        <v>193.0</v>
      </c>
      <c r="B220" s="25"/>
      <c r="C220" s="172" t="s">
        <v>67</v>
      </c>
      <c r="D220" s="172" t="s">
        <v>385</v>
      </c>
      <c r="E220" s="173">
        <f>Nacionalizado!D243</f>
        <v>2783.2</v>
      </c>
      <c r="F220" s="92">
        <f>2840*0.98                                                                            </f>
        <v>2783.2</v>
      </c>
      <c r="G220" s="109"/>
      <c r="H220" s="171"/>
    </row>
    <row r="221">
      <c r="A221" s="25">
        <v>194.0</v>
      </c>
      <c r="B221" s="25"/>
      <c r="C221" s="172" t="s">
        <v>386</v>
      </c>
      <c r="D221" s="172" t="s">
        <v>387</v>
      </c>
      <c r="E221" s="173">
        <f>Nacionalizado!D244</f>
        <v>2842</v>
      </c>
      <c r="F221" s="92">
        <f>2900*0.98</f>
        <v>2842</v>
      </c>
      <c r="G221" s="109"/>
      <c r="H221" s="171"/>
    </row>
    <row r="222">
      <c r="A222" s="25">
        <v>195.0</v>
      </c>
      <c r="B222" s="25"/>
      <c r="C222" s="172" t="s">
        <v>67</v>
      </c>
      <c r="D222" s="172" t="s">
        <v>388</v>
      </c>
      <c r="E222" s="173">
        <f>Nacionalizado!D245</f>
        <v>5047</v>
      </c>
      <c r="F222" s="92">
        <f>5150*0.98</f>
        <v>5047</v>
      </c>
      <c r="G222" s="109"/>
      <c r="H222" s="171"/>
    </row>
    <row r="223">
      <c r="A223" s="25">
        <v>196.0</v>
      </c>
      <c r="B223" s="25" t="s">
        <v>389</v>
      </c>
      <c r="C223" s="172" t="s">
        <v>67</v>
      </c>
      <c r="D223" s="172" t="s">
        <v>390</v>
      </c>
      <c r="E223" s="173">
        <f>Nacionalizado!D246</f>
        <v>6272</v>
      </c>
      <c r="F223" s="92">
        <f>6400*0.98</f>
        <v>6272</v>
      </c>
      <c r="G223" s="109"/>
      <c r="H223" s="171"/>
    </row>
    <row r="224">
      <c r="A224" s="25">
        <v>197.0</v>
      </c>
      <c r="B224" s="25"/>
      <c r="C224" s="172" t="s">
        <v>67</v>
      </c>
      <c r="D224" s="172" t="s">
        <v>391</v>
      </c>
      <c r="E224" s="173">
        <f>Nacionalizado!D247</f>
        <v>8624</v>
      </c>
      <c r="F224" s="92">
        <f>8800*0.98</f>
        <v>8624</v>
      </c>
      <c r="G224" s="109"/>
      <c r="H224" s="171"/>
    </row>
    <row r="225">
      <c r="A225" s="25">
        <v>198.0</v>
      </c>
      <c r="B225" s="25" t="s">
        <v>176</v>
      </c>
      <c r="C225" s="172" t="s">
        <v>67</v>
      </c>
      <c r="D225" s="172" t="s">
        <v>392</v>
      </c>
      <c r="E225" s="173">
        <f>Nacionalizado!D248</f>
        <v>9800</v>
      </c>
      <c r="F225" s="92">
        <f>10000*0.98</f>
        <v>9800</v>
      </c>
      <c r="G225" s="109"/>
      <c r="H225" s="171"/>
    </row>
    <row r="226">
      <c r="A226" s="25" t="s">
        <v>393</v>
      </c>
      <c r="B226" s="25"/>
      <c r="C226" s="172" t="s">
        <v>386</v>
      </c>
      <c r="D226" s="172" t="s">
        <v>394</v>
      </c>
      <c r="E226" s="173">
        <f>Nacionalizado!D249</f>
        <v>10290</v>
      </c>
      <c r="F226" s="92">
        <f>10500*0.98</f>
        <v>10290</v>
      </c>
      <c r="G226" s="109"/>
      <c r="H226" s="171"/>
    </row>
    <row r="227">
      <c r="A227" s="25" t="s">
        <v>395</v>
      </c>
      <c r="B227" s="25"/>
      <c r="C227" s="172" t="s">
        <v>386</v>
      </c>
      <c r="D227" s="172" t="s">
        <v>396</v>
      </c>
      <c r="E227" s="173">
        <f>Nacionalizado!D250</f>
        <v>10780</v>
      </c>
      <c r="F227" s="92">
        <f>11000*0.98</f>
        <v>10780</v>
      </c>
      <c r="G227" s="109"/>
      <c r="H227" s="171"/>
    </row>
    <row r="228">
      <c r="A228" s="25">
        <v>199.0</v>
      </c>
      <c r="B228" s="25"/>
      <c r="C228" s="172" t="s">
        <v>342</v>
      </c>
      <c r="D228" s="172" t="s">
        <v>397</v>
      </c>
      <c r="E228" s="173">
        <f>Nacionalizado!D251</f>
        <v>6272</v>
      </c>
      <c r="F228" s="92">
        <f t="shared" ref="F228:F229" si="9">6400*0.98</f>
        <v>6272</v>
      </c>
      <c r="G228" s="109"/>
      <c r="H228" s="171"/>
    </row>
    <row r="229">
      <c r="A229" s="25">
        <v>200.0</v>
      </c>
      <c r="B229" s="25"/>
      <c r="C229" s="172" t="s">
        <v>342</v>
      </c>
      <c r="D229" s="172" t="s">
        <v>398</v>
      </c>
      <c r="E229" s="173">
        <f>Nacionalizado!D252</f>
        <v>6272</v>
      </c>
      <c r="F229" s="92">
        <f t="shared" si="9"/>
        <v>6272</v>
      </c>
      <c r="G229" s="109"/>
      <c r="H229" s="171"/>
    </row>
    <row r="230">
      <c r="A230" s="25">
        <v>201.0</v>
      </c>
      <c r="B230" s="25"/>
      <c r="C230" s="172" t="s">
        <v>342</v>
      </c>
      <c r="D230" s="172" t="s">
        <v>399</v>
      </c>
      <c r="E230" s="173">
        <f>Nacionalizado!D253</f>
        <v>2511.25</v>
      </c>
      <c r="F230" s="92">
        <f>2562.5*0.98</f>
        <v>2511.25</v>
      </c>
      <c r="G230" s="109"/>
      <c r="H230" s="171"/>
    </row>
    <row r="231">
      <c r="A231" s="25">
        <v>202.0</v>
      </c>
      <c r="B231" s="25"/>
      <c r="C231" s="172" t="s">
        <v>342</v>
      </c>
      <c r="D231" s="172" t="s">
        <v>400</v>
      </c>
      <c r="E231" s="173">
        <f>Nacionalizado!D254</f>
        <v>8500</v>
      </c>
      <c r="F231" s="92">
        <f>8500</f>
        <v>8500</v>
      </c>
      <c r="G231" s="109"/>
      <c r="H231" s="171"/>
    </row>
    <row r="232">
      <c r="A232" s="191" t="s">
        <v>401</v>
      </c>
      <c r="B232" s="15"/>
      <c r="C232" s="15"/>
      <c r="D232" s="15"/>
      <c r="E232" s="15"/>
      <c r="F232" s="15"/>
      <c r="G232" s="65"/>
      <c r="H232" s="171"/>
    </row>
    <row r="233">
      <c r="A233" s="25">
        <v>203.0</v>
      </c>
      <c r="B233" s="25"/>
      <c r="C233" s="172" t="s">
        <v>402</v>
      </c>
      <c r="D233" s="172" t="s">
        <v>403</v>
      </c>
      <c r="E233" s="173">
        <f>Nacionalizado!D256</f>
        <v>27500</v>
      </c>
      <c r="F233" s="193">
        <v>30000.0</v>
      </c>
      <c r="G233" s="109"/>
      <c r="H233" s="171"/>
    </row>
    <row r="234">
      <c r="A234" s="25">
        <v>204.0</v>
      </c>
      <c r="B234" s="25"/>
      <c r="C234" s="172" t="s">
        <v>402</v>
      </c>
      <c r="D234" s="172" t="s">
        <v>404</v>
      </c>
      <c r="E234" s="173">
        <f>Nacionalizado!D257</f>
        <v>49500</v>
      </c>
      <c r="F234" s="193">
        <v>62000.0</v>
      </c>
      <c r="G234" s="109"/>
      <c r="H234" s="171"/>
    </row>
    <row r="235">
      <c r="A235" s="25">
        <v>205.0</v>
      </c>
      <c r="B235" s="25"/>
      <c r="C235" s="172" t="s">
        <v>402</v>
      </c>
      <c r="D235" s="172" t="s">
        <v>405</v>
      </c>
      <c r="E235" s="173">
        <f>Nacionalizado!D258</f>
        <v>75000</v>
      </c>
      <c r="F235" s="193">
        <v>77500.0</v>
      </c>
      <c r="G235" s="109"/>
      <c r="H235" s="171"/>
    </row>
    <row r="236">
      <c r="A236" s="25">
        <v>206.0</v>
      </c>
      <c r="B236" s="25"/>
      <c r="C236" s="172" t="s">
        <v>402</v>
      </c>
      <c r="D236" s="172" t="s">
        <v>406</v>
      </c>
      <c r="E236" s="173">
        <f>Nacionalizado!D259</f>
        <v>22000</v>
      </c>
      <c r="F236" s="193">
        <v>22000.0</v>
      </c>
      <c r="G236" s="109"/>
      <c r="H236" s="171"/>
    </row>
    <row r="237">
      <c r="A237" s="25">
        <v>207.0</v>
      </c>
      <c r="B237" s="25"/>
      <c r="C237" s="172" t="s">
        <v>402</v>
      </c>
      <c r="D237" s="172" t="s">
        <v>407</v>
      </c>
      <c r="E237" s="173">
        <f>Nacionalizado!D260</f>
        <v>140000</v>
      </c>
      <c r="F237" s="193">
        <v>140000.0</v>
      </c>
      <c r="G237" s="109"/>
      <c r="H237" s="171"/>
    </row>
    <row r="238">
      <c r="A238" s="25">
        <v>208.0</v>
      </c>
      <c r="B238" s="25"/>
      <c r="C238" s="172" t="s">
        <v>402</v>
      </c>
      <c r="D238" s="172" t="s">
        <v>408</v>
      </c>
      <c r="E238" s="173">
        <f>Nacionalizado!D261</f>
        <v>115000</v>
      </c>
      <c r="F238" s="193">
        <v>115000.0</v>
      </c>
      <c r="G238" s="109"/>
      <c r="H238" s="171"/>
    </row>
    <row r="239">
      <c r="A239" s="25">
        <v>209.0</v>
      </c>
      <c r="B239" s="25"/>
      <c r="C239" s="172" t="s">
        <v>402</v>
      </c>
      <c r="D239" s="172" t="s">
        <v>409</v>
      </c>
      <c r="E239" s="173">
        <f>Nacionalizado!D262</f>
        <v>77000</v>
      </c>
      <c r="F239" s="193">
        <v>77000.0</v>
      </c>
      <c r="G239" s="109"/>
      <c r="H239" s="171"/>
    </row>
    <row r="240">
      <c r="A240" s="25">
        <v>210.0</v>
      </c>
      <c r="B240" s="25"/>
      <c r="C240" s="172" t="s">
        <v>402</v>
      </c>
      <c r="D240" s="172" t="s">
        <v>410</v>
      </c>
      <c r="E240" s="173">
        <f>Nacionalizado!D263</f>
        <v>16800</v>
      </c>
      <c r="F240" s="193">
        <v>16800.0</v>
      </c>
      <c r="G240" s="109"/>
      <c r="H240" s="171"/>
    </row>
    <row r="241">
      <c r="A241" s="25">
        <v>211.0</v>
      </c>
      <c r="B241" s="25"/>
      <c r="C241" s="172" t="s">
        <v>402</v>
      </c>
      <c r="D241" s="172" t="s">
        <v>411</v>
      </c>
      <c r="E241" s="173">
        <f>Nacionalizado!D264</f>
        <v>28700</v>
      </c>
      <c r="F241" s="193">
        <v>28700.0</v>
      </c>
      <c r="G241" s="109"/>
      <c r="H241" s="171"/>
    </row>
    <row r="242">
      <c r="A242" s="25">
        <v>212.0</v>
      </c>
      <c r="B242" s="25"/>
      <c r="C242" s="172" t="s">
        <v>402</v>
      </c>
      <c r="D242" s="172" t="s">
        <v>412</v>
      </c>
      <c r="E242" s="173">
        <f>Nacionalizado!D265</f>
        <v>3900</v>
      </c>
      <c r="F242" s="193">
        <v>3900.0</v>
      </c>
      <c r="G242" s="109"/>
      <c r="H242" s="171"/>
    </row>
    <row r="243">
      <c r="A243" s="194" t="s">
        <v>35</v>
      </c>
      <c r="B243" s="15"/>
      <c r="C243" s="15"/>
      <c r="D243" s="15"/>
      <c r="E243" s="15"/>
      <c r="F243" s="15"/>
      <c r="G243" s="65"/>
      <c r="H243" s="171"/>
    </row>
    <row r="244">
      <c r="A244" s="25">
        <v>213.0</v>
      </c>
      <c r="B244" s="25" t="s">
        <v>336</v>
      </c>
      <c r="C244" s="172" t="s">
        <v>67</v>
      </c>
      <c r="D244" s="172" t="s">
        <v>413</v>
      </c>
      <c r="E244" s="173">
        <f>Nacionalizado!D267</f>
        <v>690.46</v>
      </c>
      <c r="F244" s="92">
        <f>600.4*1.15</f>
        <v>690.46</v>
      </c>
      <c r="G244" s="109"/>
      <c r="H244" s="171"/>
    </row>
    <row r="245">
      <c r="A245" s="25">
        <v>214.0</v>
      </c>
      <c r="B245" s="25" t="s">
        <v>95</v>
      </c>
      <c r="C245" s="172" t="s">
        <v>67</v>
      </c>
      <c r="D245" s="172" t="s">
        <v>414</v>
      </c>
      <c r="E245" s="173">
        <f>Nacionalizado!D268</f>
        <v>1200</v>
      </c>
      <c r="F245" s="92">
        <f>1166.83*1.15</f>
        <v>1341.8545</v>
      </c>
      <c r="G245" s="109"/>
      <c r="H245" s="171"/>
    </row>
    <row r="246">
      <c r="A246" s="25">
        <v>215.0</v>
      </c>
      <c r="B246" s="25" t="s">
        <v>95</v>
      </c>
      <c r="C246" s="172" t="s">
        <v>67</v>
      </c>
      <c r="D246" s="172" t="s">
        <v>415</v>
      </c>
      <c r="E246" s="173">
        <f>Nacionalizado!D269</f>
        <v>1400</v>
      </c>
      <c r="F246" s="92">
        <f>1545.48*1.15</f>
        <v>1777.302</v>
      </c>
      <c r="G246" s="109"/>
      <c r="H246" s="171"/>
    </row>
    <row r="247">
      <c r="A247" s="25">
        <v>216.0</v>
      </c>
      <c r="B247" s="25" t="s">
        <v>95</v>
      </c>
      <c r="C247" s="172" t="s">
        <v>67</v>
      </c>
      <c r="D247" s="172" t="s">
        <v>416</v>
      </c>
      <c r="E247" s="173">
        <f>Nacionalizado!D270</f>
        <v>2800</v>
      </c>
      <c r="F247" s="92">
        <f>2875.12*1.15</f>
        <v>3306.388</v>
      </c>
      <c r="G247" s="109"/>
      <c r="H247" s="171"/>
    </row>
    <row r="248">
      <c r="A248" s="191" t="s">
        <v>36</v>
      </c>
      <c r="B248" s="15"/>
      <c r="C248" s="15"/>
      <c r="D248" s="15"/>
      <c r="E248" s="15"/>
      <c r="F248" s="15"/>
      <c r="G248" s="65"/>
      <c r="H248" s="171"/>
    </row>
    <row r="249">
      <c r="A249" s="25">
        <v>217.0</v>
      </c>
      <c r="B249" s="25" t="s">
        <v>184</v>
      </c>
      <c r="C249" s="172" t="s">
        <v>73</v>
      </c>
      <c r="D249" s="172" t="s">
        <v>417</v>
      </c>
      <c r="E249" s="173" t="str">
        <f>Nacionalizado!D272</f>
        <v/>
      </c>
      <c r="F249" s="92"/>
      <c r="G249" s="109"/>
      <c r="H249" s="171"/>
    </row>
    <row r="250">
      <c r="A250" s="25">
        <v>218.0</v>
      </c>
      <c r="B250" s="25" t="s">
        <v>184</v>
      </c>
      <c r="C250" s="172" t="s">
        <v>73</v>
      </c>
      <c r="D250" s="172" t="s">
        <v>418</v>
      </c>
      <c r="E250" s="173">
        <f>Nacionalizado!D273</f>
        <v>2956.8</v>
      </c>
      <c r="F250" s="92">
        <f>3360*0.8*1.1</f>
        <v>2956.8</v>
      </c>
      <c r="G250" s="109"/>
      <c r="H250" s="171"/>
    </row>
    <row r="251">
      <c r="A251" s="25">
        <v>219.0</v>
      </c>
      <c r="B251" s="25" t="s">
        <v>184</v>
      </c>
      <c r="C251" s="172" t="s">
        <v>73</v>
      </c>
      <c r="D251" s="172" t="s">
        <v>419</v>
      </c>
      <c r="E251" s="173" t="str">
        <f>Nacionalizado!D274</f>
        <v/>
      </c>
      <c r="F251" s="92"/>
      <c r="G251" s="109"/>
      <c r="H251" s="171"/>
    </row>
    <row r="252">
      <c r="A252" s="25">
        <v>220.0</v>
      </c>
      <c r="B252" s="25" t="s">
        <v>184</v>
      </c>
      <c r="C252" s="172" t="s">
        <v>67</v>
      </c>
      <c r="D252" s="172" t="s">
        <v>420</v>
      </c>
      <c r="E252" s="173">
        <f>Nacionalizado!D275</f>
        <v>700</v>
      </c>
      <c r="F252" s="92">
        <f>880*1.1</f>
        <v>968</v>
      </c>
      <c r="G252" s="109"/>
      <c r="H252" s="171"/>
    </row>
    <row r="253">
      <c r="A253" s="25">
        <v>221.0</v>
      </c>
      <c r="B253" s="25" t="s">
        <v>184</v>
      </c>
      <c r="C253" s="172" t="s">
        <v>67</v>
      </c>
      <c r="D253" s="172" t="s">
        <v>421</v>
      </c>
      <c r="E253" s="173">
        <f>Nacionalizado!D276</f>
        <v>1366</v>
      </c>
      <c r="F253" s="92">
        <f>1760*0.8*1.1</f>
        <v>1548.8</v>
      </c>
      <c r="G253" s="109"/>
      <c r="H253" s="171"/>
    </row>
    <row r="254">
      <c r="A254" s="25">
        <v>222.0</v>
      </c>
      <c r="B254" s="25" t="s">
        <v>184</v>
      </c>
      <c r="C254" s="172" t="s">
        <v>73</v>
      </c>
      <c r="D254" s="172" t="s">
        <v>422</v>
      </c>
      <c r="E254" s="173">
        <f>Nacionalizado!D277</f>
        <v>1760</v>
      </c>
      <c r="F254" s="92">
        <f>1600*1.1</f>
        <v>1760</v>
      </c>
      <c r="G254" s="109"/>
      <c r="H254" s="171"/>
    </row>
    <row r="255">
      <c r="A255" s="25">
        <v>223.0</v>
      </c>
      <c r="B255" s="25" t="s">
        <v>184</v>
      </c>
      <c r="C255" s="172" t="s">
        <v>67</v>
      </c>
      <c r="D255" s="172" t="s">
        <v>423</v>
      </c>
      <c r="E255" s="173">
        <f>Nacionalizado!D278</f>
        <v>117.04</v>
      </c>
      <c r="F255" s="92">
        <f>106.4*1.1</f>
        <v>117.04</v>
      </c>
      <c r="G255" s="109"/>
      <c r="H255" s="171"/>
    </row>
    <row r="256">
      <c r="A256" s="25">
        <v>224.0</v>
      </c>
      <c r="B256" s="25" t="s">
        <v>184</v>
      </c>
      <c r="C256" s="172" t="s">
        <v>67</v>
      </c>
      <c r="D256" s="172" t="s">
        <v>424</v>
      </c>
      <c r="E256" s="173">
        <f>Nacionalizado!D279</f>
        <v>55</v>
      </c>
      <c r="F256" s="92">
        <f t="shared" ref="F256:F257" si="10">50*1.1</f>
        <v>55</v>
      </c>
      <c r="G256" s="109"/>
      <c r="H256" s="171"/>
    </row>
    <row r="257">
      <c r="A257" s="25">
        <v>225.0</v>
      </c>
      <c r="B257" s="25" t="s">
        <v>184</v>
      </c>
      <c r="C257" s="172" t="s">
        <v>67</v>
      </c>
      <c r="D257" s="172" t="s">
        <v>425</v>
      </c>
      <c r="E257" s="173">
        <f>Nacionalizado!D280</f>
        <v>55</v>
      </c>
      <c r="F257" s="92">
        <f t="shared" si="10"/>
        <v>55</v>
      </c>
      <c r="G257" s="109"/>
      <c r="H257" s="171"/>
    </row>
    <row r="258">
      <c r="A258" s="195" t="s">
        <v>426</v>
      </c>
      <c r="B258" s="15"/>
      <c r="C258" s="15"/>
      <c r="D258" s="15"/>
      <c r="E258" s="15"/>
      <c r="F258" s="15"/>
      <c r="G258" s="65"/>
      <c r="H258" s="171"/>
    </row>
    <row r="259">
      <c r="A259" s="25">
        <v>226.0</v>
      </c>
      <c r="B259" s="25"/>
      <c r="C259" s="172" t="s">
        <v>67</v>
      </c>
      <c r="D259" s="172" t="s">
        <v>427</v>
      </c>
      <c r="E259" s="173">
        <f>Nacionalizado!D282</f>
        <v>1127</v>
      </c>
      <c r="F259" s="67">
        <f>1150*0.98</f>
        <v>1127</v>
      </c>
      <c r="G259" s="109"/>
      <c r="H259" s="171"/>
    </row>
    <row r="260">
      <c r="A260" s="25">
        <v>227.0</v>
      </c>
      <c r="B260" s="25"/>
      <c r="C260" s="172" t="s">
        <v>67</v>
      </c>
      <c r="D260" s="172" t="s">
        <v>428</v>
      </c>
      <c r="E260" s="173">
        <f>Nacionalizado!D283</f>
        <v>737.5</v>
      </c>
      <c r="F260" s="67">
        <f>737.5</f>
        <v>737.5</v>
      </c>
      <c r="G260" s="109"/>
      <c r="H260" s="171"/>
    </row>
    <row r="261">
      <c r="A261" s="25">
        <v>228.0</v>
      </c>
      <c r="B261" s="25"/>
      <c r="C261" s="172" t="s">
        <v>67</v>
      </c>
      <c r="D261" s="172" t="s">
        <v>429</v>
      </c>
      <c r="E261" s="173">
        <f>Nacionalizado!D284</f>
        <v>2000</v>
      </c>
      <c r="F261" s="67">
        <f>2000</f>
        <v>2000</v>
      </c>
      <c r="G261" s="109"/>
      <c r="H261" s="171"/>
    </row>
    <row r="262">
      <c r="A262" s="25">
        <v>229.0</v>
      </c>
      <c r="B262" s="25"/>
      <c r="C262" s="172" t="s">
        <v>221</v>
      </c>
      <c r="D262" s="172" t="s">
        <v>430</v>
      </c>
      <c r="E262" s="173">
        <f>Nacionalizado!D285</f>
        <v>1176</v>
      </c>
      <c r="F262" s="67">
        <f>1200*0.98</f>
        <v>1176</v>
      </c>
      <c r="G262" s="109"/>
      <c r="H262" s="171"/>
    </row>
    <row r="263">
      <c r="A263" s="25">
        <v>230.0</v>
      </c>
      <c r="B263" s="25"/>
      <c r="C263" s="172" t="s">
        <v>342</v>
      </c>
      <c r="D263" s="172" t="s">
        <v>431</v>
      </c>
      <c r="E263" s="173">
        <f>Nacionalizado!D286</f>
        <v>2254</v>
      </c>
      <c r="F263" s="67">
        <f>2300*0.98</f>
        <v>2254</v>
      </c>
      <c r="G263" s="109"/>
      <c r="H263" s="171"/>
    </row>
    <row r="264">
      <c r="A264" s="25">
        <v>231.0</v>
      </c>
      <c r="B264" s="25" t="s">
        <v>201</v>
      </c>
      <c r="C264" s="172" t="s">
        <v>432</v>
      </c>
      <c r="D264" s="172" t="s">
        <v>433</v>
      </c>
      <c r="E264" s="173">
        <f>Nacionalizado!D287</f>
        <v>1524.9</v>
      </c>
      <c r="F264" s="67">
        <f>1270.75*1.2</f>
        <v>1524.9</v>
      </c>
      <c r="G264" s="109"/>
      <c r="H264" s="171"/>
    </row>
    <row r="265">
      <c r="A265" s="25">
        <v>232.0</v>
      </c>
      <c r="B265" s="25" t="s">
        <v>201</v>
      </c>
      <c r="C265" s="172" t="s">
        <v>73</v>
      </c>
      <c r="D265" s="172" t="s">
        <v>434</v>
      </c>
      <c r="E265" s="173">
        <f>Nacionalizado!D288</f>
        <v>1470</v>
      </c>
      <c r="F265" s="67">
        <f>1500*0.98</f>
        <v>1470</v>
      </c>
      <c r="G265" s="109"/>
      <c r="H265" s="171"/>
    </row>
    <row r="266">
      <c r="A266" s="25">
        <v>233.0</v>
      </c>
      <c r="B266" s="25"/>
      <c r="C266" s="172" t="s">
        <v>67</v>
      </c>
      <c r="D266" s="172" t="s">
        <v>435</v>
      </c>
      <c r="E266" s="173">
        <f>Nacionalizado!D289</f>
        <v>1617</v>
      </c>
      <c r="F266" s="67">
        <f>1650*0.98</f>
        <v>1617</v>
      </c>
      <c r="G266" s="109"/>
      <c r="H266" s="171"/>
    </row>
    <row r="267">
      <c r="A267" s="25">
        <v>234.0</v>
      </c>
      <c r="B267" s="25"/>
      <c r="C267" s="172" t="s">
        <v>67</v>
      </c>
      <c r="D267" s="172" t="s">
        <v>436</v>
      </c>
      <c r="E267" s="173">
        <f>Nacionalizado!D290</f>
        <v>1089</v>
      </c>
      <c r="F267" s="67">
        <f>1100*0.99</f>
        <v>1089</v>
      </c>
      <c r="G267" s="109"/>
      <c r="H267" s="171"/>
    </row>
    <row r="268">
      <c r="A268" s="25">
        <v>235.0</v>
      </c>
      <c r="B268" s="25"/>
      <c r="C268" s="172" t="s">
        <v>67</v>
      </c>
      <c r="D268" s="172" t="s">
        <v>437</v>
      </c>
      <c r="E268" s="173">
        <f>Nacionalizado!D291</f>
        <v>1336.5</v>
      </c>
      <c r="F268" s="67">
        <f>1350*0.99</f>
        <v>1336.5</v>
      </c>
      <c r="G268" s="109"/>
      <c r="H268" s="171"/>
    </row>
    <row r="269">
      <c r="A269" s="25">
        <v>236.0</v>
      </c>
      <c r="B269" s="25"/>
      <c r="C269" s="172" t="s">
        <v>67</v>
      </c>
      <c r="D269" s="172" t="s">
        <v>438</v>
      </c>
      <c r="E269" s="173">
        <f>Nacionalizado!D292</f>
        <v>2450</v>
      </c>
      <c r="F269" s="67">
        <f>2500*0.98</f>
        <v>2450</v>
      </c>
      <c r="G269" s="109"/>
      <c r="H269" s="171"/>
    </row>
    <row r="270">
      <c r="A270" s="25">
        <v>237.0</v>
      </c>
      <c r="B270" s="25"/>
      <c r="C270" s="172" t="s">
        <v>67</v>
      </c>
      <c r="D270" s="172" t="s">
        <v>439</v>
      </c>
      <c r="E270" s="173">
        <f>Nacionalizado!D293</f>
        <v>2842</v>
      </c>
      <c r="F270" s="67">
        <f>2900*0.98</f>
        <v>2842</v>
      </c>
      <c r="G270" s="109"/>
      <c r="H270" s="171"/>
    </row>
    <row r="271">
      <c r="A271" s="25">
        <v>238.0</v>
      </c>
      <c r="B271" s="25"/>
      <c r="C271" s="172" t="s">
        <v>67</v>
      </c>
      <c r="D271" s="172" t="s">
        <v>440</v>
      </c>
      <c r="E271" s="173">
        <f>Nacionalizado!D294</f>
        <v>3096.8</v>
      </c>
      <c r="F271" s="67">
        <f>3160*0.98</f>
        <v>3096.8</v>
      </c>
      <c r="G271" s="109"/>
      <c r="H271" s="171"/>
    </row>
    <row r="272">
      <c r="A272" s="25">
        <v>239.0</v>
      </c>
      <c r="B272" s="25"/>
      <c r="C272" s="172" t="s">
        <v>73</v>
      </c>
      <c r="D272" s="172" t="s">
        <v>441</v>
      </c>
      <c r="E272" s="173">
        <f>Nacionalizado!D295</f>
        <v>1450</v>
      </c>
      <c r="F272" s="67">
        <v>1450.0</v>
      </c>
      <c r="G272" s="109"/>
      <c r="H272" s="171"/>
    </row>
    <row r="273">
      <c r="A273" s="25">
        <v>240.0</v>
      </c>
      <c r="B273" s="25"/>
      <c r="C273" s="172" t="s">
        <v>442</v>
      </c>
      <c r="D273" s="172" t="s">
        <v>443</v>
      </c>
      <c r="E273" s="173">
        <f>Nacionalizado!D296</f>
        <v>1375</v>
      </c>
      <c r="F273" s="67">
        <v>1375.0</v>
      </c>
      <c r="G273" s="109"/>
      <c r="H273" s="171"/>
    </row>
    <row r="274">
      <c r="A274" s="25">
        <v>241.0</v>
      </c>
      <c r="B274" s="25"/>
      <c r="C274" s="172" t="s">
        <v>386</v>
      </c>
      <c r="D274" s="172" t="s">
        <v>444</v>
      </c>
      <c r="E274" s="173">
        <f>Nacionalizado!D297</f>
        <v>1500</v>
      </c>
      <c r="F274" s="67">
        <f>1500</f>
        <v>1500</v>
      </c>
      <c r="G274" s="109"/>
      <c r="H274" s="171"/>
    </row>
    <row r="275">
      <c r="A275" s="25">
        <v>242.0</v>
      </c>
      <c r="B275" s="25"/>
      <c r="C275" s="172" t="s">
        <v>386</v>
      </c>
      <c r="D275" s="172" t="s">
        <v>445</v>
      </c>
      <c r="E275" s="173">
        <f>Nacionalizado!D298</f>
        <v>1421</v>
      </c>
      <c r="F275" s="67">
        <f>1450*0.98</f>
        <v>1421</v>
      </c>
      <c r="G275" s="109"/>
      <c r="H275" s="171"/>
    </row>
    <row r="276">
      <c r="A276" s="25">
        <v>243.0</v>
      </c>
      <c r="B276" s="25" t="s">
        <v>176</v>
      </c>
      <c r="C276" s="172" t="s">
        <v>360</v>
      </c>
      <c r="D276" s="172" t="s">
        <v>446</v>
      </c>
      <c r="E276" s="173">
        <f>Nacionalizado!D299</f>
        <v>2695</v>
      </c>
      <c r="F276" s="67">
        <f>2750*0.98</f>
        <v>2695</v>
      </c>
      <c r="G276" s="109"/>
      <c r="H276" s="171"/>
    </row>
    <row r="277">
      <c r="A277" s="25">
        <v>244.0</v>
      </c>
      <c r="B277" s="25"/>
      <c r="C277" s="172" t="s">
        <v>360</v>
      </c>
      <c r="D277" s="172" t="s">
        <v>447</v>
      </c>
      <c r="E277" s="173">
        <f>Nacionalizado!D300</f>
        <v>3057.6</v>
      </c>
      <c r="F277" s="67">
        <f>3120*0.98</f>
        <v>3057.6</v>
      </c>
      <c r="G277" s="109"/>
      <c r="H277" s="171"/>
    </row>
    <row r="278">
      <c r="A278" s="195" t="s">
        <v>448</v>
      </c>
      <c r="B278" s="15"/>
      <c r="C278" s="15"/>
      <c r="D278" s="15"/>
      <c r="E278" s="15"/>
      <c r="F278" s="15"/>
      <c r="G278" s="65"/>
      <c r="H278" s="171"/>
    </row>
    <row r="279">
      <c r="A279" s="25">
        <v>245.0</v>
      </c>
      <c r="B279" s="25"/>
      <c r="C279" s="172" t="s">
        <v>67</v>
      </c>
      <c r="D279" s="172" t="s">
        <v>449</v>
      </c>
      <c r="E279" s="173">
        <f>Nacionalizado!D302</f>
        <v>686</v>
      </c>
      <c r="F279" s="67">
        <f>700*0.98</f>
        <v>686</v>
      </c>
      <c r="G279" s="109"/>
      <c r="H279" s="171"/>
    </row>
    <row r="280">
      <c r="A280" s="25">
        <v>246.0</v>
      </c>
      <c r="B280" s="25"/>
      <c r="C280" s="172" t="s">
        <v>67</v>
      </c>
      <c r="D280" s="172" t="s">
        <v>450</v>
      </c>
      <c r="E280" s="173">
        <f>Nacionalizado!D303</f>
        <v>833</v>
      </c>
      <c r="F280" s="67">
        <f>850*0.98</f>
        <v>833</v>
      </c>
      <c r="G280" s="109"/>
      <c r="H280" s="171"/>
    </row>
    <row r="281">
      <c r="A281" s="25">
        <v>247.0</v>
      </c>
      <c r="B281" s="25"/>
      <c r="C281" s="172" t="s">
        <v>67</v>
      </c>
      <c r="D281" s="172" t="s">
        <v>451</v>
      </c>
      <c r="E281" s="173">
        <f>Nacionalizado!D304</f>
        <v>1347.5</v>
      </c>
      <c r="F281" s="67">
        <f>1375*0.98</f>
        <v>1347.5</v>
      </c>
      <c r="G281" s="109"/>
      <c r="H281" s="171"/>
    </row>
    <row r="282">
      <c r="A282" s="25">
        <v>248.0</v>
      </c>
      <c r="B282" s="25"/>
      <c r="C282" s="172" t="s">
        <v>67</v>
      </c>
      <c r="D282" s="172" t="s">
        <v>452</v>
      </c>
      <c r="E282" s="173">
        <f>Nacionalizado!D305</f>
        <v>1200.5</v>
      </c>
      <c r="F282" s="67">
        <f>1225*0.98</f>
        <v>1200.5</v>
      </c>
      <c r="G282" s="109"/>
      <c r="H282" s="171"/>
    </row>
    <row r="283">
      <c r="A283" s="25">
        <v>249.0</v>
      </c>
      <c r="B283" s="25"/>
      <c r="C283" s="172" t="s">
        <v>67</v>
      </c>
      <c r="D283" s="172" t="s">
        <v>453</v>
      </c>
      <c r="E283" s="173">
        <f>Nacionalizado!D306</f>
        <v>1509.2</v>
      </c>
      <c r="F283" s="196">
        <f t="shared" ref="F283:F284" si="11">1540*0.98</f>
        <v>1509.2</v>
      </c>
      <c r="G283" s="109"/>
      <c r="H283" s="171"/>
    </row>
    <row r="284">
      <c r="A284" s="25">
        <v>250.0</v>
      </c>
      <c r="B284" s="25"/>
      <c r="C284" s="172" t="s">
        <v>67</v>
      </c>
      <c r="D284" s="172" t="s">
        <v>454</v>
      </c>
      <c r="E284" s="173">
        <f>Nacionalizado!D307</f>
        <v>1509.2</v>
      </c>
      <c r="F284" s="196">
        <f t="shared" si="11"/>
        <v>1509.2</v>
      </c>
      <c r="G284" s="109"/>
      <c r="H284" s="171"/>
    </row>
    <row r="285">
      <c r="A285" s="25">
        <v>251.0</v>
      </c>
      <c r="B285" s="25"/>
      <c r="C285" s="172" t="s">
        <v>67</v>
      </c>
      <c r="D285" s="172" t="s">
        <v>455</v>
      </c>
      <c r="E285" s="173">
        <f>Nacionalizado!D308</f>
        <v>550</v>
      </c>
      <c r="F285" s="67">
        <f>550</f>
        <v>550</v>
      </c>
      <c r="G285" s="109"/>
      <c r="H285" s="171"/>
    </row>
    <row r="286">
      <c r="A286" s="25">
        <v>252.0</v>
      </c>
      <c r="B286" s="25"/>
      <c r="C286" s="172" t="s">
        <v>67</v>
      </c>
      <c r="D286" s="172" t="s">
        <v>456</v>
      </c>
      <c r="E286" s="173">
        <f>Nacionalizado!D309</f>
        <v>500</v>
      </c>
      <c r="F286" s="67">
        <f>500</f>
        <v>500</v>
      </c>
      <c r="G286" s="109"/>
      <c r="H286" s="171"/>
    </row>
    <row r="287">
      <c r="A287" s="25" t="s">
        <v>457</v>
      </c>
      <c r="B287" s="25"/>
      <c r="C287" s="172" t="s">
        <v>67</v>
      </c>
      <c r="D287" s="172" t="s">
        <v>458</v>
      </c>
      <c r="E287" s="173">
        <f>Nacionalizado!D310</f>
        <v>950</v>
      </c>
      <c r="F287" s="67">
        <v>950.0</v>
      </c>
      <c r="G287" s="109"/>
      <c r="H287" s="171"/>
    </row>
    <row r="288">
      <c r="A288" s="25" t="s">
        <v>459</v>
      </c>
      <c r="B288" s="25"/>
      <c r="C288" s="172" t="s">
        <v>67</v>
      </c>
      <c r="D288" s="172" t="s">
        <v>460</v>
      </c>
      <c r="E288" s="173">
        <f>Nacionalizado!D311</f>
        <v>950</v>
      </c>
      <c r="F288" s="67">
        <v>950.0</v>
      </c>
      <c r="G288" s="109"/>
      <c r="H288" s="171"/>
    </row>
    <row r="289">
      <c r="A289" s="195" t="s">
        <v>39</v>
      </c>
      <c r="B289" s="15"/>
      <c r="C289" s="15"/>
      <c r="D289" s="15"/>
      <c r="E289" s="15"/>
      <c r="F289" s="15"/>
      <c r="G289" s="65"/>
      <c r="H289" s="171"/>
    </row>
    <row r="290">
      <c r="A290" s="25">
        <v>253.0</v>
      </c>
      <c r="B290" s="25"/>
      <c r="C290" s="172" t="s">
        <v>100</v>
      </c>
      <c r="D290" s="172" t="s">
        <v>461</v>
      </c>
      <c r="E290" s="173">
        <f>Nacionalizado!D313</f>
        <v>1478.4</v>
      </c>
      <c r="F290" s="67">
        <f>1320*1.12</f>
        <v>1478.4</v>
      </c>
      <c r="G290" s="109"/>
      <c r="H290" s="171"/>
    </row>
    <row r="291">
      <c r="A291" s="25">
        <v>254.0</v>
      </c>
      <c r="B291" s="25"/>
      <c r="C291" s="172" t="s">
        <v>100</v>
      </c>
      <c r="D291" s="172" t="s">
        <v>462</v>
      </c>
      <c r="E291" s="173">
        <f>Nacionalizado!D314</f>
        <v>916.16</v>
      </c>
      <c r="F291" s="67">
        <f>818*1.12</f>
        <v>916.16</v>
      </c>
      <c r="G291" s="109"/>
      <c r="H291" s="171"/>
    </row>
    <row r="292">
      <c r="A292" s="25">
        <v>255.0</v>
      </c>
      <c r="B292" s="25"/>
      <c r="C292" s="172" t="s">
        <v>100</v>
      </c>
      <c r="D292" s="172" t="s">
        <v>463</v>
      </c>
      <c r="E292" s="173">
        <f>Nacionalizado!D315</f>
        <v>1288</v>
      </c>
      <c r="F292" s="67">
        <f>1120*1.15</f>
        <v>1288</v>
      </c>
      <c r="G292" s="109"/>
      <c r="H292" s="171"/>
    </row>
    <row r="293">
      <c r="A293" s="195" t="s">
        <v>40</v>
      </c>
      <c r="B293" s="15"/>
      <c r="C293" s="15"/>
      <c r="D293" s="15"/>
      <c r="E293" s="15"/>
      <c r="F293" s="15"/>
      <c r="G293" s="65"/>
      <c r="H293" s="171"/>
    </row>
    <row r="294">
      <c r="A294" s="25">
        <v>256.0</v>
      </c>
      <c r="B294" s="25" t="s">
        <v>377</v>
      </c>
      <c r="C294" s="172" t="s">
        <v>464</v>
      </c>
      <c r="D294" s="172" t="s">
        <v>465</v>
      </c>
      <c r="E294" s="173">
        <f>Nacionalizado!D317</f>
        <v>761.3</v>
      </c>
      <c r="F294" s="67">
        <f>662*1.15</f>
        <v>761.3</v>
      </c>
      <c r="G294" s="109"/>
      <c r="H294" s="171"/>
    </row>
    <row r="295">
      <c r="A295" s="25">
        <v>257.0</v>
      </c>
      <c r="B295" s="25" t="s">
        <v>466</v>
      </c>
      <c r="C295" s="172" t="s">
        <v>464</v>
      </c>
      <c r="D295" s="172" t="s">
        <v>467</v>
      </c>
      <c r="E295" s="173">
        <f>Nacionalizado!D318</f>
        <v>1171.85</v>
      </c>
      <c r="F295" s="80">
        <f>1019*1.15</f>
        <v>1171.85</v>
      </c>
      <c r="G295" s="109"/>
      <c r="H295" s="171"/>
    </row>
    <row r="296">
      <c r="A296" s="25">
        <v>258.0</v>
      </c>
      <c r="B296" s="25" t="s">
        <v>468</v>
      </c>
      <c r="C296" s="172" t="s">
        <v>73</v>
      </c>
      <c r="D296" s="172" t="s">
        <v>469</v>
      </c>
      <c r="E296" s="173">
        <f>Nacionalizado!D319</f>
        <v>1399.55</v>
      </c>
      <c r="F296" s="67">
        <f>1217*1.15</f>
        <v>1399.55</v>
      </c>
      <c r="G296" s="109"/>
      <c r="H296" s="171"/>
    </row>
    <row r="297">
      <c r="A297" s="25">
        <v>259.0</v>
      </c>
      <c r="B297" s="25" t="s">
        <v>377</v>
      </c>
      <c r="C297" s="172" t="s">
        <v>360</v>
      </c>
      <c r="D297" s="172" t="s">
        <v>470</v>
      </c>
      <c r="E297" s="173">
        <f>Nacionalizado!D320</f>
        <v>1198.3</v>
      </c>
      <c r="F297" s="67">
        <f>1042*1.15</f>
        <v>1198.3</v>
      </c>
      <c r="G297" s="197"/>
      <c r="H297" s="171"/>
    </row>
    <row r="298">
      <c r="A298" s="25">
        <v>260.0</v>
      </c>
      <c r="B298" s="25" t="s">
        <v>471</v>
      </c>
      <c r="C298" s="172" t="s">
        <v>472</v>
      </c>
      <c r="D298" s="172" t="s">
        <v>473</v>
      </c>
      <c r="E298" s="173">
        <f>Nacionalizado!D321</f>
        <v>1090.2</v>
      </c>
      <c r="F298" s="67">
        <f>948*1.15</f>
        <v>1090.2</v>
      </c>
      <c r="G298" s="198"/>
      <c r="H298" s="171"/>
    </row>
    <row r="299">
      <c r="A299" s="25" t="s">
        <v>474</v>
      </c>
      <c r="B299" s="25"/>
      <c r="C299" s="172" t="s">
        <v>475</v>
      </c>
      <c r="D299" s="172" t="s">
        <v>476</v>
      </c>
      <c r="E299" s="173">
        <f>Nacionalizado!D322</f>
        <v>1179.9</v>
      </c>
      <c r="F299" s="67">
        <f>1026*1.15</f>
        <v>1179.9</v>
      </c>
      <c r="G299" s="198"/>
      <c r="H299" s="171"/>
    </row>
    <row r="300">
      <c r="A300" s="25" t="s">
        <v>477</v>
      </c>
      <c r="B300" s="25"/>
      <c r="C300" s="172" t="s">
        <v>475</v>
      </c>
      <c r="D300" s="172" t="s">
        <v>478</v>
      </c>
      <c r="E300" s="173">
        <f>Nacionalizado!D323</f>
        <v>2632.35</v>
      </c>
      <c r="F300" s="67">
        <f>2289*1.15</f>
        <v>2632.35</v>
      </c>
      <c r="G300" s="198"/>
      <c r="H300" s="171"/>
    </row>
    <row r="301">
      <c r="A301" s="25">
        <v>261.0</v>
      </c>
      <c r="B301" s="25" t="s">
        <v>479</v>
      </c>
      <c r="C301" s="172" t="s">
        <v>67</v>
      </c>
      <c r="D301" s="172" t="s">
        <v>480</v>
      </c>
      <c r="E301" s="173">
        <f>Nacionalizado!D324</f>
        <v>488</v>
      </c>
      <c r="F301" s="67">
        <f>488</f>
        <v>488</v>
      </c>
      <c r="G301" s="197"/>
      <c r="H301" s="171"/>
    </row>
    <row r="302">
      <c r="A302" s="25">
        <v>262.0</v>
      </c>
      <c r="B302" s="25" t="s">
        <v>481</v>
      </c>
      <c r="C302" s="172" t="s">
        <v>67</v>
      </c>
      <c r="D302" s="172" t="s">
        <v>482</v>
      </c>
      <c r="E302" s="173">
        <f>Nacionalizado!D325</f>
        <v>594</v>
      </c>
      <c r="F302" s="67">
        <f>594</f>
        <v>594</v>
      </c>
      <c r="G302" s="197" t="s">
        <v>483</v>
      </c>
      <c r="H302" s="171"/>
    </row>
    <row r="303">
      <c r="A303" s="195" t="s">
        <v>41</v>
      </c>
      <c r="B303" s="15"/>
      <c r="C303" s="15"/>
      <c r="D303" s="15"/>
      <c r="E303" s="15"/>
      <c r="F303" s="15"/>
      <c r="G303" s="65"/>
      <c r="H303" s="171"/>
    </row>
    <row r="304">
      <c r="A304" s="25">
        <v>263.0</v>
      </c>
      <c r="B304" s="25" t="s">
        <v>484</v>
      </c>
      <c r="C304" s="172" t="s">
        <v>67</v>
      </c>
      <c r="D304" s="172" t="s">
        <v>485</v>
      </c>
      <c r="E304" s="173">
        <f>Nacionalizado!D327</f>
        <v>1520.064</v>
      </c>
      <c r="F304" s="80">
        <f>1560*0.87*1.12</f>
        <v>1520.064</v>
      </c>
      <c r="G304" s="109"/>
      <c r="H304" s="171"/>
    </row>
    <row r="305">
      <c r="A305" s="25">
        <v>264.0</v>
      </c>
      <c r="B305" s="25" t="s">
        <v>77</v>
      </c>
      <c r="C305" s="172" t="s">
        <v>67</v>
      </c>
      <c r="D305" s="172" t="s">
        <v>486</v>
      </c>
      <c r="E305" s="173">
        <f>Nacionalizado!D328</f>
        <v>117.3</v>
      </c>
      <c r="F305" s="67">
        <f>120*0.85*1.15</f>
        <v>117.3</v>
      </c>
      <c r="G305" s="109"/>
      <c r="H305" s="171"/>
    </row>
    <row r="306">
      <c r="A306" s="25">
        <v>265.0</v>
      </c>
      <c r="B306" s="25" t="s">
        <v>77</v>
      </c>
      <c r="C306" s="172" t="s">
        <v>67</v>
      </c>
      <c r="D306" s="172" t="s">
        <v>487</v>
      </c>
      <c r="E306" s="173">
        <f>Nacionalizado!D329</f>
        <v>36.1675</v>
      </c>
      <c r="F306" s="67">
        <f>37*0.85*1.15</f>
        <v>36.1675</v>
      </c>
      <c r="G306" s="109"/>
      <c r="H306" s="171"/>
    </row>
    <row r="307">
      <c r="A307" s="25">
        <v>266.0</v>
      </c>
      <c r="B307" s="25" t="s">
        <v>264</v>
      </c>
      <c r="C307" s="172" t="s">
        <v>67</v>
      </c>
      <c r="D307" s="172" t="s">
        <v>488</v>
      </c>
      <c r="E307" s="173">
        <f>Nacionalizado!D330</f>
        <v>1035.6</v>
      </c>
      <c r="F307" s="67">
        <f>863*1.2</f>
        <v>1035.6</v>
      </c>
      <c r="G307" s="197"/>
      <c r="H307" s="171"/>
    </row>
    <row r="308">
      <c r="A308" s="25">
        <v>267.0</v>
      </c>
      <c r="B308" s="25" t="s">
        <v>288</v>
      </c>
      <c r="C308" s="172" t="s">
        <v>67</v>
      </c>
      <c r="D308" s="172" t="s">
        <v>489</v>
      </c>
      <c r="E308" s="173">
        <f>Nacionalizado!D331</f>
        <v>1391.412</v>
      </c>
      <c r="F308" s="199">
        <f>(1320*0.83)*1.27</f>
        <v>1391.412</v>
      </c>
      <c r="G308" s="197" t="s">
        <v>490</v>
      </c>
      <c r="H308" s="171"/>
    </row>
    <row r="309">
      <c r="A309" s="25">
        <v>268.0</v>
      </c>
      <c r="B309" s="25" t="s">
        <v>95</v>
      </c>
      <c r="C309" s="172" t="s">
        <v>67</v>
      </c>
      <c r="D309" s="172" t="s">
        <v>491</v>
      </c>
      <c r="E309" s="173">
        <f>Nacionalizado!D332</f>
        <v>3541.4365</v>
      </c>
      <c r="F309" s="199">
        <f>3079.51*1.15</f>
        <v>3541.4365</v>
      </c>
      <c r="G309" s="109"/>
      <c r="H309" s="171"/>
    </row>
    <row r="310">
      <c r="A310" s="25">
        <v>269.0</v>
      </c>
      <c r="B310" s="25" t="s">
        <v>336</v>
      </c>
      <c r="C310" s="172" t="s">
        <v>67</v>
      </c>
      <c r="D310" s="172" t="s">
        <v>492</v>
      </c>
      <c r="E310" s="173">
        <f>Nacionalizado!D333</f>
        <v>1292.816</v>
      </c>
      <c r="F310" s="200">
        <f>1154.3*1.12</f>
        <v>1292.816</v>
      </c>
      <c r="G310" s="109"/>
      <c r="H310" s="171"/>
    </row>
    <row r="311">
      <c r="A311" s="25">
        <v>270.0</v>
      </c>
      <c r="B311" s="25" t="s">
        <v>95</v>
      </c>
      <c r="C311" s="172" t="s">
        <v>67</v>
      </c>
      <c r="D311" s="172" t="s">
        <v>493</v>
      </c>
      <c r="E311" s="173">
        <f>Nacionalizado!D334</f>
        <v>1275.75</v>
      </c>
      <c r="F311" s="200">
        <f>1020.6*1.15</f>
        <v>1173.69</v>
      </c>
      <c r="G311" s="109"/>
      <c r="H311" s="171"/>
    </row>
    <row r="312">
      <c r="A312" s="25">
        <v>271.0</v>
      </c>
      <c r="B312" s="25" t="s">
        <v>95</v>
      </c>
      <c r="C312" s="172" t="s">
        <v>67</v>
      </c>
      <c r="D312" s="172" t="s">
        <v>494</v>
      </c>
      <c r="E312" s="173">
        <f>Nacionalizado!D335</f>
        <v>845.0545</v>
      </c>
      <c r="F312" s="200">
        <f>734.83*1.15</f>
        <v>845.0545</v>
      </c>
      <c r="G312" s="109"/>
      <c r="H312" s="171"/>
    </row>
    <row r="313">
      <c r="A313" s="25">
        <v>272.0</v>
      </c>
      <c r="B313" s="25" t="s">
        <v>95</v>
      </c>
      <c r="C313" s="172" t="s">
        <v>67</v>
      </c>
      <c r="D313" s="172" t="s">
        <v>495</v>
      </c>
      <c r="E313" s="173">
        <f>Nacionalizado!D336</f>
        <v>79.7796</v>
      </c>
      <c r="F313" s="200">
        <f>73.87*1.08</f>
        <v>79.7796</v>
      </c>
      <c r="G313" s="109"/>
      <c r="H313" s="171"/>
    </row>
    <row r="314">
      <c r="A314" s="25">
        <v>273.0</v>
      </c>
      <c r="B314" s="25" t="s">
        <v>95</v>
      </c>
      <c r="C314" s="172" t="s">
        <v>67</v>
      </c>
      <c r="D314" s="172" t="s">
        <v>496</v>
      </c>
      <c r="E314" s="173">
        <f>Nacionalizado!D337</f>
        <v>59.84</v>
      </c>
      <c r="F314" s="200">
        <v>59.84</v>
      </c>
      <c r="G314" s="109"/>
      <c r="H314" s="171"/>
    </row>
    <row r="315">
      <c r="A315" s="25">
        <v>274.0</v>
      </c>
      <c r="B315" s="25" t="s">
        <v>95</v>
      </c>
      <c r="C315" s="172" t="s">
        <v>67</v>
      </c>
      <c r="D315" s="172" t="s">
        <v>497</v>
      </c>
      <c r="E315" s="173">
        <f>Nacionalizado!D338</f>
        <v>117.46</v>
      </c>
      <c r="F315" s="200">
        <v>117.46</v>
      </c>
      <c r="G315" s="109"/>
      <c r="H315" s="171"/>
    </row>
    <row r="316">
      <c r="A316" s="25">
        <v>275.0</v>
      </c>
      <c r="B316" s="25" t="s">
        <v>95</v>
      </c>
      <c r="C316" s="172" t="s">
        <v>67</v>
      </c>
      <c r="D316" s="172" t="s">
        <v>498</v>
      </c>
      <c r="E316" s="173">
        <f>Nacionalizado!D339</f>
        <v>17.73</v>
      </c>
      <c r="F316" s="200">
        <v>17.73</v>
      </c>
      <c r="G316" s="109"/>
      <c r="H316" s="171"/>
    </row>
    <row r="317">
      <c r="A317" s="195" t="s">
        <v>499</v>
      </c>
      <c r="B317" s="15"/>
      <c r="C317" s="15"/>
      <c r="D317" s="15"/>
      <c r="E317" s="15"/>
      <c r="F317" s="15"/>
      <c r="G317" s="65"/>
      <c r="H317" s="171"/>
    </row>
    <row r="318">
      <c r="A318" s="25">
        <v>276.0</v>
      </c>
      <c r="B318" s="25" t="s">
        <v>88</v>
      </c>
      <c r="C318" s="172" t="s">
        <v>67</v>
      </c>
      <c r="D318" s="172" t="s">
        <v>500</v>
      </c>
      <c r="E318" s="173">
        <f>Nacionalizado!D341</f>
        <v>1264.8</v>
      </c>
      <c r="F318" s="200">
        <f>1054*1.2</f>
        <v>1264.8</v>
      </c>
      <c r="G318" s="109"/>
      <c r="H318" s="171"/>
    </row>
    <row r="319">
      <c r="A319" s="25">
        <v>277.0</v>
      </c>
      <c r="B319" s="25" t="s">
        <v>88</v>
      </c>
      <c r="C319" s="172" t="s">
        <v>67</v>
      </c>
      <c r="D319" s="172" t="s">
        <v>501</v>
      </c>
      <c r="E319" s="173">
        <f>Nacionalizado!D342</f>
        <v>588</v>
      </c>
      <c r="F319" s="200">
        <f>490*1.2</f>
        <v>588</v>
      </c>
      <c r="G319" s="109"/>
      <c r="H319" s="171"/>
    </row>
    <row r="320">
      <c r="A320" s="25">
        <v>278.0</v>
      </c>
      <c r="B320" s="25" t="s">
        <v>88</v>
      </c>
      <c r="C320" s="172" t="s">
        <v>67</v>
      </c>
      <c r="D320" s="172" t="s">
        <v>502</v>
      </c>
      <c r="E320" s="173">
        <f>Nacionalizado!D343</f>
        <v>884.8</v>
      </c>
      <c r="F320" s="200">
        <f>790*1.12</f>
        <v>884.8</v>
      </c>
      <c r="G320" s="109"/>
      <c r="H320" s="171"/>
    </row>
    <row r="321">
      <c r="A321" s="25">
        <v>279.0</v>
      </c>
      <c r="B321" s="25" t="s">
        <v>88</v>
      </c>
      <c r="C321" s="172" t="s">
        <v>67</v>
      </c>
      <c r="D321" s="172" t="s">
        <v>503</v>
      </c>
      <c r="E321" s="173">
        <f>Nacionalizado!D344</f>
        <v>672</v>
      </c>
      <c r="F321" s="200">
        <f>600*1.12</f>
        <v>672</v>
      </c>
      <c r="G321" s="109"/>
      <c r="H321" s="171"/>
    </row>
    <row r="322">
      <c r="A322" s="25" t="s">
        <v>504</v>
      </c>
      <c r="B322" s="25"/>
      <c r="C322" s="172" t="s">
        <v>67</v>
      </c>
      <c r="D322" s="172" t="s">
        <v>505</v>
      </c>
      <c r="E322" s="173">
        <f>Nacionalizado!D345</f>
        <v>2507</v>
      </c>
      <c r="F322" s="200">
        <f>2180*1.15</f>
        <v>2507</v>
      </c>
      <c r="G322" s="109"/>
      <c r="H322" s="171"/>
    </row>
    <row r="323">
      <c r="A323" s="25" t="s">
        <v>506</v>
      </c>
      <c r="B323" s="25"/>
      <c r="C323" s="172" t="s">
        <v>67</v>
      </c>
      <c r="D323" s="172" t="s">
        <v>507</v>
      </c>
      <c r="E323" s="173">
        <f>Nacionalizado!D346</f>
        <v>2972.75</v>
      </c>
      <c r="F323" s="200">
        <f>2585*1.15</f>
        <v>2972.75</v>
      </c>
      <c r="G323" s="109"/>
      <c r="H323" s="171"/>
    </row>
    <row r="324">
      <c r="A324" s="25" t="s">
        <v>508</v>
      </c>
      <c r="B324" s="25"/>
      <c r="C324" s="172" t="s">
        <v>67</v>
      </c>
      <c r="D324" s="172" t="s">
        <v>509</v>
      </c>
      <c r="E324" s="173">
        <f>Nacionalizado!D347</f>
        <v>906.2</v>
      </c>
      <c r="F324" s="200">
        <f>788*1.15</f>
        <v>906.2</v>
      </c>
      <c r="G324" s="109"/>
      <c r="H324" s="171"/>
    </row>
    <row r="325">
      <c r="A325" s="25" t="s">
        <v>510</v>
      </c>
      <c r="B325" s="25"/>
      <c r="C325" s="172" t="s">
        <v>67</v>
      </c>
      <c r="D325" s="172" t="s">
        <v>511</v>
      </c>
      <c r="E325" s="173">
        <f>Nacionalizado!D348</f>
        <v>2235.6</v>
      </c>
      <c r="F325" s="200">
        <f>1944*1.15</f>
        <v>2235.6</v>
      </c>
      <c r="G325" s="109"/>
      <c r="H325" s="171"/>
    </row>
    <row r="326">
      <c r="A326" s="195" t="s">
        <v>43</v>
      </c>
      <c r="B326" s="15"/>
      <c r="C326" s="15"/>
      <c r="D326" s="15"/>
      <c r="E326" s="15"/>
      <c r="F326" s="15"/>
      <c r="G326" s="65"/>
      <c r="H326" s="171"/>
    </row>
    <row r="327">
      <c r="A327" s="25">
        <v>280.0</v>
      </c>
      <c r="B327" s="25"/>
      <c r="C327" s="172" t="s">
        <v>67</v>
      </c>
      <c r="D327" s="172" t="s">
        <v>512</v>
      </c>
      <c r="E327" s="173">
        <f>Nacionalizado!D350</f>
        <v>3521.232</v>
      </c>
      <c r="F327" s="200">
        <f>3432*0.95*1.08</f>
        <v>3521.232</v>
      </c>
      <c r="G327" s="109"/>
      <c r="H327" s="171"/>
    </row>
    <row r="328">
      <c r="A328" s="25">
        <v>281.0</v>
      </c>
      <c r="B328" s="25"/>
      <c r="C328" s="172" t="s">
        <v>67</v>
      </c>
      <c r="D328" s="172" t="s">
        <v>513</v>
      </c>
      <c r="E328" s="173">
        <f>Nacionalizado!D351</f>
        <v>1115.262</v>
      </c>
      <c r="F328" s="200">
        <f>1087*0.95*1.08</f>
        <v>1115.262</v>
      </c>
      <c r="G328" s="109"/>
      <c r="H328" s="171"/>
    </row>
    <row r="329">
      <c r="A329" s="195" t="s">
        <v>514</v>
      </c>
      <c r="B329" s="15"/>
      <c r="C329" s="15"/>
      <c r="D329" s="15"/>
      <c r="E329" s="15"/>
      <c r="F329" s="15"/>
      <c r="G329" s="65"/>
      <c r="H329" s="171"/>
    </row>
    <row r="330">
      <c r="A330" s="25">
        <v>282.0</v>
      </c>
      <c r="B330" s="25" t="s">
        <v>515</v>
      </c>
      <c r="C330" s="172" t="s">
        <v>67</v>
      </c>
      <c r="D330" s="172" t="s">
        <v>516</v>
      </c>
      <c r="E330" s="173">
        <f>Nacionalizado!D353</f>
        <v>900</v>
      </c>
      <c r="F330" s="200">
        <f>900</f>
        <v>900</v>
      </c>
      <c r="G330" s="109"/>
      <c r="H330" s="171"/>
    </row>
    <row r="331">
      <c r="A331" s="25">
        <v>283.0</v>
      </c>
      <c r="B331" s="25"/>
      <c r="C331" s="172" t="s">
        <v>67</v>
      </c>
      <c r="D331" s="172" t="s">
        <v>517</v>
      </c>
      <c r="E331" s="173">
        <f>Nacionalizado!D354</f>
        <v>380</v>
      </c>
      <c r="F331" s="200"/>
      <c r="G331" s="109"/>
      <c r="H331" s="171"/>
    </row>
    <row r="332">
      <c r="A332" s="25">
        <v>284.0</v>
      </c>
      <c r="B332" s="25"/>
      <c r="C332" s="172" t="s">
        <v>67</v>
      </c>
      <c r="D332" s="172" t="s">
        <v>518</v>
      </c>
      <c r="E332" s="173">
        <f>Nacionalizado!D355</f>
        <v>600</v>
      </c>
      <c r="F332" s="200"/>
      <c r="G332" s="109"/>
      <c r="H332" s="171"/>
    </row>
    <row r="333">
      <c r="A333" s="201" t="s">
        <v>45</v>
      </c>
      <c r="B333" s="15"/>
      <c r="C333" s="15"/>
      <c r="D333" s="15"/>
      <c r="E333" s="15"/>
      <c r="F333" s="15"/>
      <c r="G333" s="65"/>
      <c r="H333" s="171"/>
    </row>
    <row r="334">
      <c r="A334" s="25">
        <v>285.0</v>
      </c>
      <c r="B334" s="25" t="s">
        <v>519</v>
      </c>
      <c r="C334" s="172" t="s">
        <v>67</v>
      </c>
      <c r="D334" s="172" t="s">
        <v>520</v>
      </c>
      <c r="E334" s="173">
        <f>Nacionalizado!D357</f>
        <v>114.5898</v>
      </c>
      <c r="F334" s="67">
        <f>117*0.83*1.18</f>
        <v>114.5898</v>
      </c>
      <c r="G334" s="109"/>
      <c r="H334" s="171"/>
    </row>
    <row r="335">
      <c r="A335" s="25">
        <v>286.0</v>
      </c>
      <c r="B335" s="25" t="s">
        <v>521</v>
      </c>
      <c r="C335" s="172" t="s">
        <v>475</v>
      </c>
      <c r="D335" s="172" t="s">
        <v>522</v>
      </c>
      <c r="E335" s="173">
        <f>Nacionalizado!D358</f>
        <v>175.628</v>
      </c>
      <c r="F335" s="67">
        <f>184*0.83*1.15</f>
        <v>175.628</v>
      </c>
      <c r="G335" s="176"/>
      <c r="H335" s="171"/>
    </row>
    <row r="336">
      <c r="A336" s="25">
        <v>287.0</v>
      </c>
      <c r="B336" s="25" t="s">
        <v>523</v>
      </c>
      <c r="C336" s="172" t="s">
        <v>67</v>
      </c>
      <c r="D336" s="172" t="s">
        <v>524</v>
      </c>
      <c r="E336" s="173">
        <f>Nacionalizado!D359</f>
        <v>330.05</v>
      </c>
      <c r="F336" s="67">
        <f>287*1.15</f>
        <v>330.05</v>
      </c>
      <c r="G336" s="109"/>
      <c r="H336" s="171"/>
    </row>
    <row r="337">
      <c r="A337" s="25">
        <v>288.0</v>
      </c>
      <c r="B337" s="25" t="s">
        <v>525</v>
      </c>
      <c r="C337" s="172" t="s">
        <v>67</v>
      </c>
      <c r="D337" s="172" t="s">
        <v>526</v>
      </c>
      <c r="E337" s="173">
        <f>Nacionalizado!D360</f>
        <v>377.0358</v>
      </c>
      <c r="F337" s="67">
        <f>402*0.83*1.13</f>
        <v>377.0358</v>
      </c>
      <c r="G337" s="109"/>
      <c r="H337" s="171"/>
    </row>
    <row r="338">
      <c r="A338" s="25">
        <v>289.0</v>
      </c>
      <c r="B338" s="25" t="s">
        <v>527</v>
      </c>
      <c r="C338" s="172" t="s">
        <v>67</v>
      </c>
      <c r="D338" s="172" t="s">
        <v>528</v>
      </c>
      <c r="E338" s="173">
        <f>Nacionalizado!D361</f>
        <v>429.5582</v>
      </c>
      <c r="F338" s="67">
        <f>458*0.83*1.13</f>
        <v>429.5582</v>
      </c>
      <c r="G338" s="109"/>
      <c r="H338" s="171"/>
    </row>
    <row r="339">
      <c r="A339" s="202" t="s">
        <v>46</v>
      </c>
      <c r="B339" s="15"/>
      <c r="C339" s="15"/>
      <c r="D339" s="15"/>
      <c r="E339" s="15"/>
      <c r="F339" s="15"/>
      <c r="G339" s="65"/>
      <c r="H339" s="171"/>
    </row>
    <row r="340">
      <c r="A340" s="25">
        <v>290.0</v>
      </c>
      <c r="B340" s="25" t="s">
        <v>529</v>
      </c>
      <c r="C340" s="172" t="s">
        <v>67</v>
      </c>
      <c r="D340" s="172" t="s">
        <v>530</v>
      </c>
      <c r="E340" s="173">
        <f>Nacionalizado!D363</f>
        <v>200.2</v>
      </c>
      <c r="F340" s="67">
        <f>182*1.1</f>
        <v>200.2</v>
      </c>
      <c r="G340" s="109"/>
      <c r="H340" s="171"/>
    </row>
    <row r="341">
      <c r="A341" s="25">
        <v>291.0</v>
      </c>
      <c r="B341" s="25" t="s">
        <v>529</v>
      </c>
      <c r="C341" s="172" t="s">
        <v>67</v>
      </c>
      <c r="D341" s="172" t="s">
        <v>531</v>
      </c>
      <c r="E341" s="173">
        <f>Nacionalizado!D364</f>
        <v>319</v>
      </c>
      <c r="F341" s="67">
        <f>290*1.1</f>
        <v>319</v>
      </c>
      <c r="G341" s="109"/>
      <c r="H341" s="171"/>
    </row>
    <row r="342">
      <c r="A342" s="25">
        <v>292.0</v>
      </c>
      <c r="B342" s="25" t="s">
        <v>529</v>
      </c>
      <c r="C342" s="172" t="s">
        <v>67</v>
      </c>
      <c r="D342" s="172" t="s">
        <v>532</v>
      </c>
      <c r="E342" s="173">
        <f>Nacionalizado!D365</f>
        <v>433.4</v>
      </c>
      <c r="F342" s="67">
        <f>394*1.1</f>
        <v>433.4</v>
      </c>
      <c r="G342" s="109"/>
      <c r="H342" s="171"/>
    </row>
    <row r="343">
      <c r="A343" s="25">
        <v>293.0</v>
      </c>
      <c r="B343" s="25"/>
      <c r="C343" s="172" t="s">
        <v>67</v>
      </c>
      <c r="D343" s="172" t="s">
        <v>533</v>
      </c>
      <c r="E343" s="173">
        <f>Nacionalizado!D366</f>
        <v>468.05</v>
      </c>
      <c r="F343" s="67">
        <f>407*1.15</f>
        <v>468.05</v>
      </c>
      <c r="G343" s="109"/>
      <c r="H343" s="171"/>
    </row>
    <row r="344">
      <c r="A344" s="25">
        <v>294.0</v>
      </c>
      <c r="B344" s="25"/>
      <c r="C344" s="172" t="s">
        <v>67</v>
      </c>
      <c r="D344" s="172" t="s">
        <v>534</v>
      </c>
      <c r="E344" s="173">
        <f>Nacionalizado!D367</f>
        <v>739.45</v>
      </c>
      <c r="F344" s="67">
        <f>643*1.15</f>
        <v>739.45</v>
      </c>
      <c r="G344" s="109"/>
      <c r="H344" s="171"/>
    </row>
    <row r="345">
      <c r="A345" s="25">
        <v>295.0</v>
      </c>
      <c r="B345" s="25"/>
      <c r="C345" s="172" t="s">
        <v>67</v>
      </c>
      <c r="D345" s="172" t="s">
        <v>535</v>
      </c>
      <c r="E345" s="173">
        <f>Nacionalizado!D368</f>
        <v>838.35</v>
      </c>
      <c r="F345" s="67">
        <f>729*1.15</f>
        <v>838.35</v>
      </c>
      <c r="G345" s="109"/>
      <c r="H345" s="171"/>
    </row>
    <row r="346">
      <c r="A346" s="25">
        <v>296.0</v>
      </c>
      <c r="B346" s="25"/>
      <c r="C346" s="172" t="s">
        <v>67</v>
      </c>
      <c r="D346" s="172" t="s">
        <v>536</v>
      </c>
      <c r="E346" s="173">
        <f>Nacionalizado!D369</f>
        <v>418.6</v>
      </c>
      <c r="F346" s="67">
        <f>364*1.15</f>
        <v>418.6</v>
      </c>
      <c r="G346" s="109"/>
      <c r="H346" s="171"/>
    </row>
    <row r="347">
      <c r="A347" s="25">
        <v>297.0</v>
      </c>
      <c r="B347" s="25"/>
      <c r="C347" s="172" t="s">
        <v>67</v>
      </c>
      <c r="D347" s="172" t="s">
        <v>537</v>
      </c>
      <c r="E347" s="173">
        <f>Nacionalizado!D370</f>
        <v>79.35</v>
      </c>
      <c r="F347" s="67">
        <f>69*1.15</f>
        <v>79.35</v>
      </c>
      <c r="G347" s="109"/>
      <c r="H347" s="171"/>
    </row>
    <row r="348">
      <c r="A348" s="25">
        <v>298.0</v>
      </c>
      <c r="B348" s="25"/>
      <c r="C348" s="172" t="s">
        <v>67</v>
      </c>
      <c r="D348" s="172" t="s">
        <v>538</v>
      </c>
      <c r="E348" s="173">
        <f>Nacionalizado!D371</f>
        <v>103.5</v>
      </c>
      <c r="F348" s="67">
        <f>90*1.15</f>
        <v>103.5</v>
      </c>
      <c r="G348" s="109"/>
      <c r="H348" s="171"/>
    </row>
    <row r="349">
      <c r="A349" s="25">
        <v>299.0</v>
      </c>
      <c r="B349" s="25"/>
      <c r="C349" s="172" t="s">
        <v>67</v>
      </c>
      <c r="D349" s="172" t="s">
        <v>539</v>
      </c>
      <c r="E349" s="173">
        <f>Nacionalizado!D372</f>
        <v>127.65</v>
      </c>
      <c r="F349" s="67">
        <f>111*1.15</f>
        <v>127.65</v>
      </c>
      <c r="G349" s="109"/>
      <c r="H349" s="171"/>
    </row>
    <row r="350">
      <c r="A350" s="25">
        <v>300.0</v>
      </c>
      <c r="B350" s="25"/>
      <c r="C350" s="172" t="s">
        <v>67</v>
      </c>
      <c r="D350" s="172" t="s">
        <v>540</v>
      </c>
      <c r="E350" s="173">
        <f>Nacionalizado!D373</f>
        <v>147.2</v>
      </c>
      <c r="F350" s="67">
        <f>128*1.15</f>
        <v>147.2</v>
      </c>
      <c r="G350" s="109"/>
      <c r="H350" s="171"/>
    </row>
    <row r="351">
      <c r="A351" s="25">
        <v>301.0</v>
      </c>
      <c r="B351" s="25"/>
      <c r="C351" s="172" t="s">
        <v>73</v>
      </c>
      <c r="D351" s="172" t="s">
        <v>541</v>
      </c>
      <c r="E351" s="173">
        <f>Nacionalizado!D374</f>
        <v>172.5</v>
      </c>
      <c r="F351" s="67">
        <f>150*1.15</f>
        <v>172.5</v>
      </c>
      <c r="G351" s="109"/>
      <c r="H351" s="171"/>
    </row>
    <row r="352">
      <c r="A352" s="25">
        <v>302.0</v>
      </c>
      <c r="B352" s="25"/>
      <c r="C352" s="172" t="s">
        <v>67</v>
      </c>
      <c r="D352" s="172" t="s">
        <v>542</v>
      </c>
      <c r="E352" s="173">
        <f>Nacionalizado!D375</f>
        <v>211.6</v>
      </c>
      <c r="F352" s="67">
        <f>184*1.15</f>
        <v>211.6</v>
      </c>
      <c r="G352" s="109"/>
      <c r="H352" s="171"/>
    </row>
    <row r="353">
      <c r="A353" s="25">
        <v>303.0</v>
      </c>
      <c r="B353" s="25"/>
      <c r="C353" s="172" t="s">
        <v>67</v>
      </c>
      <c r="D353" s="172" t="s">
        <v>543</v>
      </c>
      <c r="E353" s="173">
        <f>Nacionalizado!D376</f>
        <v>274.85</v>
      </c>
      <c r="F353" s="67">
        <f>239*1.15</f>
        <v>274.85</v>
      </c>
      <c r="G353" s="109"/>
      <c r="H353" s="171"/>
    </row>
    <row r="354">
      <c r="A354" s="25">
        <v>304.0</v>
      </c>
      <c r="B354" s="25"/>
      <c r="C354" s="172" t="s">
        <v>67</v>
      </c>
      <c r="D354" s="172" t="s">
        <v>544</v>
      </c>
      <c r="E354" s="173">
        <f>Nacionalizado!D377</f>
        <v>312.8</v>
      </c>
      <c r="F354" s="67">
        <f>272*1.15</f>
        <v>312.8</v>
      </c>
      <c r="G354" s="109"/>
      <c r="H354" s="171"/>
    </row>
    <row r="355">
      <c r="A355" s="25">
        <v>305.0</v>
      </c>
      <c r="B355" s="25"/>
      <c r="C355" s="172" t="s">
        <v>67</v>
      </c>
      <c r="D355" s="172" t="s">
        <v>545</v>
      </c>
      <c r="E355" s="173">
        <f>Nacionalizado!D378</f>
        <v>435.85</v>
      </c>
      <c r="F355" s="67">
        <f>379*1.15</f>
        <v>435.85</v>
      </c>
      <c r="G355" s="109"/>
      <c r="H355" s="171"/>
    </row>
    <row r="356">
      <c r="A356" s="25">
        <v>306.0</v>
      </c>
      <c r="B356" s="25"/>
      <c r="C356" s="172" t="s">
        <v>67</v>
      </c>
      <c r="D356" s="172" t="s">
        <v>546</v>
      </c>
      <c r="E356" s="173">
        <f>Nacionalizado!D379</f>
        <v>228.85</v>
      </c>
      <c r="F356" s="67">
        <f>199*1.15</f>
        <v>228.85</v>
      </c>
      <c r="G356" s="109"/>
      <c r="H356" s="171"/>
    </row>
    <row r="357">
      <c r="A357" s="25">
        <v>307.0</v>
      </c>
      <c r="B357" s="25"/>
      <c r="C357" s="172" t="s">
        <v>67</v>
      </c>
      <c r="D357" s="172" t="s">
        <v>547</v>
      </c>
      <c r="E357" s="173">
        <f>Nacionalizado!D380</f>
        <v>185.334</v>
      </c>
      <c r="F357" s="67">
        <f>161.16*1.15</f>
        <v>185.334</v>
      </c>
      <c r="G357" s="109"/>
      <c r="H357" s="171"/>
    </row>
    <row r="358">
      <c r="A358" s="25">
        <v>308.0</v>
      </c>
      <c r="B358" s="25"/>
      <c r="C358" s="172" t="s">
        <v>67</v>
      </c>
      <c r="D358" s="172" t="s">
        <v>548</v>
      </c>
      <c r="E358" s="173">
        <f>Nacionalizado!D381</f>
        <v>303.186</v>
      </c>
      <c r="F358" s="67">
        <f>263.64*1.15</f>
        <v>303.186</v>
      </c>
      <c r="G358" s="109"/>
      <c r="H358" s="171"/>
    </row>
    <row r="359">
      <c r="A359" s="202" t="s">
        <v>47</v>
      </c>
      <c r="B359" s="15"/>
      <c r="C359" s="15"/>
      <c r="D359" s="15"/>
      <c r="E359" s="15"/>
      <c r="F359" s="15"/>
      <c r="G359" s="65"/>
      <c r="H359" s="171"/>
    </row>
    <row r="360">
      <c r="A360" s="25">
        <v>309.0</v>
      </c>
      <c r="B360" s="25"/>
      <c r="C360" s="172"/>
      <c r="D360" s="172" t="s">
        <v>549</v>
      </c>
      <c r="E360" s="173" t="str">
        <f>Nacionalizado!D383</f>
        <v/>
      </c>
      <c r="F360" s="67"/>
      <c r="G360" s="109"/>
      <c r="H360" s="171"/>
    </row>
    <row r="361">
      <c r="A361" s="25">
        <v>310.0</v>
      </c>
      <c r="B361" s="25"/>
      <c r="C361" s="172" t="s">
        <v>67</v>
      </c>
      <c r="D361" s="172" t="s">
        <v>550</v>
      </c>
      <c r="E361" s="173">
        <f>Nacionalizado!D384</f>
        <v>396.75</v>
      </c>
      <c r="F361" s="67">
        <f>345*1.15</f>
        <v>396.75</v>
      </c>
      <c r="G361" s="109"/>
      <c r="H361" s="171"/>
    </row>
    <row r="362">
      <c r="A362" s="25">
        <v>311.0</v>
      </c>
      <c r="B362" s="25"/>
      <c r="C362" s="172" t="s">
        <v>67</v>
      </c>
      <c r="D362" s="172" t="s">
        <v>551</v>
      </c>
      <c r="E362" s="173">
        <f>Nacionalizado!D385</f>
        <v>465.75</v>
      </c>
      <c r="F362" s="67">
        <f>405*1.15</f>
        <v>465.75</v>
      </c>
      <c r="G362" s="109"/>
      <c r="H362" s="171"/>
    </row>
    <row r="363">
      <c r="A363" s="25">
        <v>312.0</v>
      </c>
      <c r="B363" s="25"/>
      <c r="C363" s="172" t="s">
        <v>67</v>
      </c>
      <c r="D363" s="172" t="s">
        <v>552</v>
      </c>
      <c r="E363" s="173">
        <f>Nacionalizado!D386</f>
        <v>537.05</v>
      </c>
      <c r="F363" s="67">
        <f>467*1.15</f>
        <v>537.05</v>
      </c>
      <c r="G363" s="109"/>
      <c r="H363" s="171"/>
    </row>
    <row r="364">
      <c r="A364" s="25">
        <v>313.0</v>
      </c>
      <c r="B364" s="25"/>
      <c r="C364" s="172" t="s">
        <v>67</v>
      </c>
      <c r="D364" s="172" t="s">
        <v>553</v>
      </c>
      <c r="E364" s="173">
        <f>Nacionalizado!D387</f>
        <v>236.9</v>
      </c>
      <c r="F364" s="67">
        <f>206*1.15</f>
        <v>236.9</v>
      </c>
      <c r="G364" s="109"/>
      <c r="H364" s="171"/>
    </row>
    <row r="365">
      <c r="A365" s="25">
        <v>314.0</v>
      </c>
      <c r="B365" s="25"/>
      <c r="C365" s="172" t="s">
        <v>67</v>
      </c>
      <c r="D365" s="172" t="s">
        <v>554</v>
      </c>
      <c r="E365" s="173">
        <f>Nacionalizado!D388</f>
        <v>230</v>
      </c>
      <c r="F365" s="67">
        <f>200*1.15</f>
        <v>230</v>
      </c>
      <c r="G365" s="109"/>
      <c r="H365" s="171"/>
    </row>
    <row r="366">
      <c r="A366" s="25">
        <v>315.0</v>
      </c>
      <c r="B366" s="25"/>
      <c r="C366" s="172" t="s">
        <v>67</v>
      </c>
      <c r="D366" s="172" t="s">
        <v>555</v>
      </c>
      <c r="E366" s="173">
        <f>Nacionalizado!D389</f>
        <v>305.9</v>
      </c>
      <c r="F366" s="67">
        <f>266*1.15</f>
        <v>305.9</v>
      </c>
      <c r="G366" s="109"/>
      <c r="H366" s="171"/>
    </row>
    <row r="367">
      <c r="A367" s="25">
        <v>316.0</v>
      </c>
      <c r="B367" s="25"/>
      <c r="C367" s="172" t="s">
        <v>67</v>
      </c>
      <c r="D367" s="172" t="s">
        <v>556</v>
      </c>
      <c r="E367" s="173">
        <f>Nacionalizado!D390</f>
        <v>301.3</v>
      </c>
      <c r="F367" s="67">
        <f>262*1.15</f>
        <v>301.3</v>
      </c>
      <c r="G367" s="109"/>
      <c r="H367" s="171"/>
    </row>
    <row r="368">
      <c r="A368" s="25">
        <v>317.0</v>
      </c>
      <c r="B368" s="25"/>
      <c r="C368" s="172" t="s">
        <v>67</v>
      </c>
      <c r="D368" s="172" t="s">
        <v>557</v>
      </c>
      <c r="E368" s="173">
        <f>Nacionalizado!D391</f>
        <v>334.65</v>
      </c>
      <c r="F368" s="67">
        <f>291*1.15</f>
        <v>334.65</v>
      </c>
      <c r="G368" s="109"/>
      <c r="H368" s="171"/>
    </row>
    <row r="369">
      <c r="A369" s="25">
        <v>318.0</v>
      </c>
      <c r="B369" s="25"/>
      <c r="C369" s="172" t="s">
        <v>67</v>
      </c>
      <c r="D369" s="172" t="s">
        <v>558</v>
      </c>
      <c r="E369" s="173">
        <f>Nacionalizado!D392</f>
        <v>430.1</v>
      </c>
      <c r="F369" s="67">
        <f>374*1.15</f>
        <v>430.1</v>
      </c>
      <c r="G369" s="109"/>
      <c r="H369" s="171"/>
    </row>
    <row r="370">
      <c r="A370" s="25">
        <v>319.0</v>
      </c>
      <c r="B370" s="25"/>
      <c r="C370" s="172" t="s">
        <v>67</v>
      </c>
      <c r="D370" s="172" t="s">
        <v>559</v>
      </c>
      <c r="E370" s="173">
        <f>Nacionalizado!D393</f>
        <v>284.05</v>
      </c>
      <c r="F370" s="67">
        <f>247*1.15</f>
        <v>284.05</v>
      </c>
      <c r="G370" s="109"/>
      <c r="H370" s="171"/>
    </row>
    <row r="371">
      <c r="A371" s="25">
        <v>320.0</v>
      </c>
      <c r="B371" s="25"/>
      <c r="C371" s="172" t="s">
        <v>67</v>
      </c>
      <c r="D371" s="172" t="s">
        <v>560</v>
      </c>
      <c r="E371" s="173">
        <f>Nacionalizado!D394</f>
        <v>547.4</v>
      </c>
      <c r="F371" s="67">
        <f>476*1.15</f>
        <v>547.4</v>
      </c>
      <c r="G371" s="109"/>
      <c r="H371" s="171"/>
    </row>
    <row r="372">
      <c r="A372" s="25">
        <v>321.0</v>
      </c>
      <c r="B372" s="25"/>
      <c r="C372" s="172" t="s">
        <v>67</v>
      </c>
      <c r="D372" s="172" t="s">
        <v>561</v>
      </c>
      <c r="E372" s="173">
        <f>Nacionalizado!D395</f>
        <v>646.3</v>
      </c>
      <c r="F372" s="67">
        <f>562*1.15</f>
        <v>646.3</v>
      </c>
      <c r="G372" s="109"/>
      <c r="H372" s="171"/>
    </row>
    <row r="373">
      <c r="A373" s="25">
        <v>322.0</v>
      </c>
      <c r="B373" s="25"/>
      <c r="C373" s="172" t="s">
        <v>67</v>
      </c>
      <c r="D373" s="172" t="s">
        <v>562</v>
      </c>
      <c r="E373" s="173">
        <f>Nacionalizado!D396</f>
        <v>813.05</v>
      </c>
      <c r="F373" s="67">
        <f>707*1.15</f>
        <v>813.05</v>
      </c>
      <c r="G373" s="109"/>
      <c r="H373" s="171"/>
    </row>
    <row r="374">
      <c r="A374" s="25">
        <v>323.0</v>
      </c>
      <c r="B374" s="25"/>
      <c r="C374" s="172" t="s">
        <v>67</v>
      </c>
      <c r="D374" s="172" t="s">
        <v>563</v>
      </c>
      <c r="E374" s="173">
        <f>Nacionalizado!D397</f>
        <v>308.2</v>
      </c>
      <c r="F374" s="67">
        <f>268*1.15</f>
        <v>308.2</v>
      </c>
      <c r="G374" s="109"/>
      <c r="H374" s="171"/>
    </row>
    <row r="375">
      <c r="A375" s="25">
        <v>324.0</v>
      </c>
      <c r="B375" s="25"/>
      <c r="C375" s="172" t="s">
        <v>67</v>
      </c>
      <c r="D375" s="172" t="s">
        <v>559</v>
      </c>
      <c r="E375" s="173">
        <f>Nacionalizado!D398</f>
        <v>284.05</v>
      </c>
      <c r="F375" s="67">
        <f>247*1.15</f>
        <v>284.05</v>
      </c>
      <c r="G375" s="109"/>
      <c r="H375" s="171"/>
    </row>
    <row r="376">
      <c r="A376" s="203" t="s">
        <v>48</v>
      </c>
      <c r="B376" s="15"/>
      <c r="C376" s="15"/>
      <c r="D376" s="15"/>
      <c r="E376" s="15"/>
      <c r="F376" s="15"/>
      <c r="G376" s="65"/>
      <c r="H376" s="171"/>
    </row>
    <row r="377">
      <c r="A377" s="25">
        <v>325.0</v>
      </c>
      <c r="B377" s="25" t="s">
        <v>564</v>
      </c>
      <c r="C377" s="172" t="s">
        <v>67</v>
      </c>
      <c r="D377" s="172" t="s">
        <v>565</v>
      </c>
      <c r="E377" s="173">
        <f>Nacionalizado!D400</f>
        <v>1.176</v>
      </c>
      <c r="F377" s="67">
        <f>1.05*1.12</f>
        <v>1.176</v>
      </c>
      <c r="G377" s="109"/>
      <c r="H377" s="171"/>
    </row>
    <row r="378">
      <c r="A378" s="25">
        <v>326.0</v>
      </c>
      <c r="B378" s="25" t="s">
        <v>564</v>
      </c>
      <c r="C378" s="172" t="s">
        <v>67</v>
      </c>
      <c r="D378" s="172" t="s">
        <v>566</v>
      </c>
      <c r="E378" s="173">
        <f>Nacionalizado!D401</f>
        <v>1.456</v>
      </c>
      <c r="F378" s="67">
        <f>1.3*1.12</f>
        <v>1.456</v>
      </c>
      <c r="G378" s="109"/>
      <c r="H378" s="171"/>
    </row>
    <row r="379">
      <c r="A379" s="25">
        <v>327.0</v>
      </c>
      <c r="B379" s="25" t="s">
        <v>564</v>
      </c>
      <c r="C379" s="172" t="s">
        <v>67</v>
      </c>
      <c r="D379" s="172" t="s">
        <v>567</v>
      </c>
      <c r="E379" s="173">
        <f>Nacionalizado!D402</f>
        <v>1.0752</v>
      </c>
      <c r="F379" s="67">
        <f>0.96*1.12</f>
        <v>1.0752</v>
      </c>
      <c r="G379" s="109"/>
      <c r="H379" s="171"/>
    </row>
    <row r="380">
      <c r="A380" s="25">
        <v>328.0</v>
      </c>
      <c r="B380" s="25" t="s">
        <v>564</v>
      </c>
      <c r="C380" s="172" t="s">
        <v>67</v>
      </c>
      <c r="D380" s="172" t="s">
        <v>568</v>
      </c>
      <c r="E380" s="173">
        <f>Nacionalizado!D403</f>
        <v>1.4224</v>
      </c>
      <c r="F380" s="67">
        <f>1.27*1.12</f>
        <v>1.4224</v>
      </c>
      <c r="G380" s="109"/>
      <c r="H380" s="171"/>
    </row>
    <row r="381">
      <c r="A381" s="25">
        <v>329.0</v>
      </c>
      <c r="B381" s="25" t="s">
        <v>569</v>
      </c>
      <c r="C381" s="172" t="s">
        <v>67</v>
      </c>
      <c r="D381" s="172" t="s">
        <v>570</v>
      </c>
      <c r="E381" s="173">
        <f>Nacionalizado!D404</f>
        <v>0.8364</v>
      </c>
      <c r="F381" s="67">
        <f>0.8*0.85*1.23</f>
        <v>0.8364</v>
      </c>
      <c r="G381" s="176" t="s">
        <v>571</v>
      </c>
      <c r="H381" s="171"/>
    </row>
    <row r="382">
      <c r="A382" s="25">
        <v>330.0</v>
      </c>
      <c r="B382" s="25" t="s">
        <v>569</v>
      </c>
      <c r="C382" s="172" t="s">
        <v>73</v>
      </c>
      <c r="D382" s="172" t="s">
        <v>572</v>
      </c>
      <c r="E382" s="173">
        <f>Nacionalizado!D405</f>
        <v>1.308</v>
      </c>
      <c r="F382" s="67">
        <f>1.09*1.2</f>
        <v>1.308</v>
      </c>
      <c r="G382" s="109"/>
      <c r="H382" s="171"/>
    </row>
    <row r="383">
      <c r="A383" s="25">
        <v>331.0</v>
      </c>
      <c r="B383" s="25" t="s">
        <v>569</v>
      </c>
      <c r="C383" s="172" t="s">
        <v>67</v>
      </c>
      <c r="D383" s="172" t="s">
        <v>573</v>
      </c>
      <c r="E383" s="173">
        <f>Nacionalizado!D406</f>
        <v>0.8092</v>
      </c>
      <c r="F383" s="67">
        <f>0.8*0.85*1.19</f>
        <v>0.8092</v>
      </c>
      <c r="G383" s="109"/>
      <c r="H383" s="171"/>
    </row>
    <row r="384">
      <c r="A384" s="25">
        <v>332.0</v>
      </c>
      <c r="B384" s="25" t="s">
        <v>569</v>
      </c>
      <c r="C384" s="172" t="s">
        <v>73</v>
      </c>
      <c r="D384" s="172" t="s">
        <v>574</v>
      </c>
      <c r="E384" s="173">
        <f>Nacionalizado!D407</f>
        <v>1.2535</v>
      </c>
      <c r="F384" s="67">
        <f>1.09*1.15</f>
        <v>1.2535</v>
      </c>
      <c r="G384" s="109"/>
      <c r="H384" s="171"/>
    </row>
    <row r="385">
      <c r="A385" s="25">
        <v>333.0</v>
      </c>
      <c r="B385" s="25" t="s">
        <v>575</v>
      </c>
      <c r="C385" s="172" t="s">
        <v>67</v>
      </c>
      <c r="D385" s="172" t="s">
        <v>576</v>
      </c>
      <c r="E385" s="173">
        <f>Nacionalizado!D408</f>
        <v>0.9435</v>
      </c>
      <c r="F385" s="67">
        <f>0.85*1.11</f>
        <v>0.9435</v>
      </c>
      <c r="G385" s="109"/>
      <c r="H385" s="171"/>
    </row>
    <row r="386">
      <c r="A386" s="25">
        <v>334.0</v>
      </c>
      <c r="B386" s="25" t="s">
        <v>575</v>
      </c>
      <c r="C386" s="172" t="s">
        <v>67</v>
      </c>
      <c r="D386" s="172" t="s">
        <v>577</v>
      </c>
      <c r="E386" s="173">
        <f>Nacionalizado!D409</f>
        <v>1.37</v>
      </c>
      <c r="F386" s="67">
        <v>1.37</v>
      </c>
      <c r="G386" s="109"/>
      <c r="H386" s="171"/>
    </row>
    <row r="387">
      <c r="A387" s="25">
        <v>335.0</v>
      </c>
      <c r="B387" s="25">
        <v>1.0</v>
      </c>
      <c r="C387" s="172" t="s">
        <v>67</v>
      </c>
      <c r="D387" s="184" t="s">
        <v>578</v>
      </c>
      <c r="E387" s="173">
        <f>Nacionalizado!D410</f>
        <v>1.2508</v>
      </c>
      <c r="F387" s="67">
        <f>1.06*1.18</f>
        <v>1.2508</v>
      </c>
      <c r="G387" s="109"/>
      <c r="H387" s="171"/>
    </row>
    <row r="388">
      <c r="A388" s="25">
        <v>336.0</v>
      </c>
      <c r="B388" s="25"/>
      <c r="C388" s="172" t="s">
        <v>67</v>
      </c>
      <c r="D388" s="172" t="s">
        <v>579</v>
      </c>
      <c r="E388" s="173">
        <f>Nacionalizado!D411</f>
        <v>0.88188</v>
      </c>
      <c r="F388" s="67">
        <f>0.7349*1.2</f>
        <v>0.88188</v>
      </c>
      <c r="G388" s="109"/>
      <c r="H388" s="171"/>
    </row>
    <row r="389">
      <c r="A389" s="25">
        <v>337.0</v>
      </c>
      <c r="B389" s="25" t="s">
        <v>575</v>
      </c>
      <c r="C389" s="172" t="s">
        <v>67</v>
      </c>
      <c r="D389" s="172" t="s">
        <v>580</v>
      </c>
      <c r="E389" s="173">
        <f>Nacionalizado!D412</f>
        <v>2.136</v>
      </c>
      <c r="F389" s="67">
        <f>1.78*1.2</f>
        <v>2.136</v>
      </c>
      <c r="G389" s="109"/>
      <c r="H389" s="171"/>
    </row>
    <row r="390">
      <c r="A390" s="25">
        <v>338.0</v>
      </c>
      <c r="B390" s="25" t="s">
        <v>114</v>
      </c>
      <c r="C390" s="172" t="s">
        <v>67</v>
      </c>
      <c r="D390" s="172" t="s">
        <v>581</v>
      </c>
      <c r="E390" s="173">
        <f>Nacionalizado!D413</f>
        <v>2.323</v>
      </c>
      <c r="F390" s="67">
        <f>2.02*1.15</f>
        <v>2.323</v>
      </c>
      <c r="G390" s="109"/>
      <c r="H390" s="171"/>
    </row>
    <row r="391">
      <c r="A391" s="203" t="s">
        <v>49</v>
      </c>
      <c r="B391" s="15"/>
      <c r="C391" s="15"/>
      <c r="D391" s="15"/>
      <c r="E391" s="15"/>
      <c r="F391" s="15"/>
      <c r="G391" s="65"/>
      <c r="H391" s="171"/>
    </row>
    <row r="392">
      <c r="A392" s="25">
        <v>339.0</v>
      </c>
      <c r="B392" s="25"/>
      <c r="C392" s="172" t="s">
        <v>67</v>
      </c>
      <c r="D392" s="172" t="s">
        <v>582</v>
      </c>
      <c r="E392" s="173">
        <f>Nacionalizado!D415</f>
        <v>126.996</v>
      </c>
      <c r="F392" s="204">
        <f>105.83*1.2</f>
        <v>126.996</v>
      </c>
      <c r="G392" s="109"/>
      <c r="H392" s="171"/>
    </row>
    <row r="393">
      <c r="A393" s="25">
        <v>340.0</v>
      </c>
      <c r="B393" s="25"/>
      <c r="C393" s="172" t="s">
        <v>67</v>
      </c>
      <c r="D393" s="172" t="s">
        <v>583</v>
      </c>
      <c r="E393" s="173">
        <f>Nacionalizado!D416</f>
        <v>38.796</v>
      </c>
      <c r="F393" s="204">
        <f>32.33*1.2</f>
        <v>38.796</v>
      </c>
      <c r="G393" s="109"/>
      <c r="H393" s="171"/>
    </row>
    <row r="394">
      <c r="A394" s="203" t="s">
        <v>50</v>
      </c>
      <c r="B394" s="15"/>
      <c r="C394" s="15"/>
      <c r="D394" s="15"/>
      <c r="E394" s="15"/>
      <c r="F394" s="15"/>
      <c r="G394" s="65"/>
      <c r="H394" s="171"/>
    </row>
    <row r="395">
      <c r="A395" s="25"/>
      <c r="B395" s="25" t="str">
        <f>#REF!</f>
        <v>#REF!</v>
      </c>
      <c r="C395" s="172" t="str">
        <f>Nacionalizado!B418</f>
        <v/>
      </c>
      <c r="D395" s="172" t="str">
        <f>Nacionalizado!C418</f>
        <v/>
      </c>
      <c r="E395" s="173" t="str">
        <f>Nacionalizado!D418</f>
        <v/>
      </c>
      <c r="F395" s="67">
        <f>1.2*1.25</f>
        <v>1.5</v>
      </c>
      <c r="G395" s="109"/>
      <c r="H395" s="171"/>
    </row>
    <row r="396">
      <c r="A396" s="25">
        <v>341.0</v>
      </c>
      <c r="B396" s="25"/>
      <c r="C396" s="172" t="s">
        <v>67</v>
      </c>
      <c r="D396" s="172" t="s">
        <v>584</v>
      </c>
      <c r="E396" s="173">
        <f>Nacionalizado!D419</f>
        <v>1.5</v>
      </c>
      <c r="F396" s="67">
        <f>1.28*1.25</f>
        <v>1.6</v>
      </c>
      <c r="G396" s="109"/>
      <c r="H396" s="171"/>
    </row>
    <row r="397">
      <c r="A397" s="25">
        <v>342.0</v>
      </c>
      <c r="B397" s="25"/>
      <c r="C397" s="172" t="s">
        <v>67</v>
      </c>
      <c r="D397" s="172" t="s">
        <v>585</v>
      </c>
      <c r="E397" s="173">
        <f>Nacionalizado!D420</f>
        <v>1.6</v>
      </c>
      <c r="F397" s="67">
        <f>5.85*1.25</f>
        <v>7.3125</v>
      </c>
      <c r="G397" s="109"/>
      <c r="H397" s="171"/>
    </row>
    <row r="398">
      <c r="A398" s="25">
        <v>343.0</v>
      </c>
      <c r="B398" s="25"/>
      <c r="C398" s="172" t="s">
        <v>67</v>
      </c>
      <c r="D398" s="172" t="s">
        <v>586</v>
      </c>
      <c r="E398" s="173">
        <f>Nacionalizado!D421</f>
        <v>7.3125</v>
      </c>
      <c r="F398" s="67">
        <f t="shared" ref="F398:F400" si="12">8.78*1.25</f>
        <v>10.975</v>
      </c>
      <c r="G398" s="109"/>
      <c r="H398" s="171"/>
    </row>
    <row r="399">
      <c r="A399" s="25">
        <v>344.0</v>
      </c>
      <c r="B399" s="25"/>
      <c r="C399" s="172" t="s">
        <v>67</v>
      </c>
      <c r="D399" s="172" t="s">
        <v>587</v>
      </c>
      <c r="E399" s="173">
        <f>Nacionalizado!D422</f>
        <v>10.975</v>
      </c>
      <c r="F399" s="67">
        <f t="shared" si="12"/>
        <v>10.975</v>
      </c>
      <c r="G399" s="109"/>
      <c r="H399" s="171"/>
    </row>
    <row r="400">
      <c r="A400" s="25">
        <v>345.0</v>
      </c>
      <c r="B400" s="25"/>
      <c r="C400" s="172" t="s">
        <v>67</v>
      </c>
      <c r="D400" s="172" t="s">
        <v>588</v>
      </c>
      <c r="E400" s="173">
        <f>Nacionalizado!D423</f>
        <v>10.975</v>
      </c>
      <c r="F400" s="67">
        <f t="shared" si="12"/>
        <v>10.975</v>
      </c>
      <c r="G400" s="109"/>
      <c r="H400" s="171"/>
    </row>
    <row r="401">
      <c r="A401" s="25">
        <v>346.0</v>
      </c>
      <c r="B401" s="25"/>
      <c r="C401" s="172" t="s">
        <v>67</v>
      </c>
      <c r="D401" s="172" t="s">
        <v>589</v>
      </c>
      <c r="E401" s="173">
        <f>Nacionalizado!D424</f>
        <v>10.975</v>
      </c>
      <c r="F401" s="67">
        <f>11.7*1.35</f>
        <v>15.795</v>
      </c>
      <c r="G401" s="109"/>
      <c r="H401" s="171"/>
    </row>
    <row r="402">
      <c r="A402" s="25">
        <v>347.0</v>
      </c>
      <c r="B402" s="25"/>
      <c r="C402" s="172" t="s">
        <v>67</v>
      </c>
      <c r="D402" s="172" t="s">
        <v>590</v>
      </c>
      <c r="E402" s="173">
        <f>Nacionalizado!D425</f>
        <v>15.795</v>
      </c>
      <c r="F402" s="67">
        <f>22.61*1.35</f>
        <v>30.5235</v>
      </c>
      <c r="G402" s="109"/>
      <c r="H402" s="171"/>
    </row>
    <row r="403">
      <c r="A403" s="25">
        <v>348.0</v>
      </c>
      <c r="B403" s="25"/>
      <c r="C403" s="172" t="s">
        <v>67</v>
      </c>
      <c r="D403" s="172" t="s">
        <v>591</v>
      </c>
      <c r="E403" s="173">
        <f>Nacionalizado!D426</f>
        <v>30.5235</v>
      </c>
      <c r="F403" s="67">
        <f>18.62*1.35</f>
        <v>25.137</v>
      </c>
      <c r="G403" s="109"/>
      <c r="H403" s="171"/>
    </row>
    <row r="404">
      <c r="A404" s="25">
        <v>349.0</v>
      </c>
      <c r="B404" s="25"/>
      <c r="C404" s="172" t="s">
        <v>67</v>
      </c>
      <c r="D404" s="172" t="s">
        <v>592</v>
      </c>
      <c r="E404" s="173">
        <f>Nacionalizado!D427</f>
        <v>25.137</v>
      </c>
      <c r="F404" s="67">
        <f>23.94*1.35</f>
        <v>32.319</v>
      </c>
      <c r="G404" s="109"/>
      <c r="H404" s="171"/>
    </row>
    <row r="405">
      <c r="A405" s="25">
        <v>350.0</v>
      </c>
      <c r="B405" s="25"/>
      <c r="C405" s="172" t="s">
        <v>67</v>
      </c>
      <c r="D405" s="172" t="s">
        <v>593</v>
      </c>
      <c r="E405" s="173">
        <f>Nacionalizado!D428</f>
        <v>32.319</v>
      </c>
      <c r="F405" s="67">
        <f>15.96*1.2</f>
        <v>19.152</v>
      </c>
      <c r="G405" s="109"/>
      <c r="H405" s="171"/>
    </row>
    <row r="406">
      <c r="A406" s="25">
        <v>351.0</v>
      </c>
      <c r="B406" s="25"/>
      <c r="C406" s="172" t="s">
        <v>67</v>
      </c>
      <c r="D406" s="172" t="s">
        <v>594</v>
      </c>
      <c r="E406" s="173">
        <f>Nacionalizado!D429</f>
        <v>19.152</v>
      </c>
      <c r="F406" s="67">
        <f>60.12*1.2</f>
        <v>72.144</v>
      </c>
      <c r="G406" s="109"/>
      <c r="H406" s="171"/>
    </row>
    <row r="407">
      <c r="A407" s="25">
        <v>352.0</v>
      </c>
      <c r="B407" s="25"/>
      <c r="C407" s="172" t="s">
        <v>67</v>
      </c>
      <c r="D407" s="172" t="s">
        <v>595</v>
      </c>
      <c r="E407" s="173">
        <f>Nacionalizado!D430</f>
        <v>72.144</v>
      </c>
      <c r="F407" s="67">
        <f>85.12*1.2</f>
        <v>102.144</v>
      </c>
      <c r="G407" s="109"/>
      <c r="H407" s="171"/>
    </row>
    <row r="408">
      <c r="A408" s="25">
        <v>353.0</v>
      </c>
      <c r="B408" s="25"/>
      <c r="C408" s="172" t="s">
        <v>67</v>
      </c>
      <c r="D408" s="172" t="s">
        <v>596</v>
      </c>
      <c r="E408" s="173">
        <f>Nacionalizado!D431</f>
        <v>102.144</v>
      </c>
      <c r="F408" s="67">
        <f>2.1*1.25</f>
        <v>2.625</v>
      </c>
      <c r="G408" s="109"/>
      <c r="H408" s="171"/>
    </row>
    <row r="409">
      <c r="A409" s="25">
        <v>354.0</v>
      </c>
      <c r="B409" s="25"/>
      <c r="C409" s="172" t="s">
        <v>67</v>
      </c>
      <c r="D409" s="172" t="s">
        <v>597</v>
      </c>
      <c r="E409" s="173">
        <f>Nacionalizado!D432</f>
        <v>2.625</v>
      </c>
      <c r="F409" s="67">
        <f>2.625</f>
        <v>2.625</v>
      </c>
      <c r="G409" s="109"/>
      <c r="H409" s="171"/>
    </row>
    <row r="410">
      <c r="A410" s="25">
        <v>355.0</v>
      </c>
      <c r="B410" s="25"/>
      <c r="C410" s="172" t="s">
        <v>67</v>
      </c>
      <c r="D410" s="172" t="s">
        <v>598</v>
      </c>
      <c r="E410" s="173">
        <f>F410</f>
        <v>15.87</v>
      </c>
      <c r="F410" s="67">
        <f>13.8*1.15</f>
        <v>15.87</v>
      </c>
      <c r="G410" s="197"/>
      <c r="H410" s="171"/>
    </row>
    <row r="411">
      <c r="A411" s="25">
        <v>356.0</v>
      </c>
      <c r="B411" s="25" t="s">
        <v>599</v>
      </c>
      <c r="C411" s="172" t="s">
        <v>67</v>
      </c>
      <c r="D411" s="172" t="s">
        <v>600</v>
      </c>
      <c r="E411" s="173">
        <f>Nacionalizado!D434</f>
        <v>10.95</v>
      </c>
      <c r="F411" s="67">
        <f>3.65*3</f>
        <v>10.95</v>
      </c>
      <c r="G411" s="109"/>
      <c r="H411" s="171"/>
    </row>
    <row r="412">
      <c r="A412" s="25">
        <v>357.0</v>
      </c>
      <c r="B412" s="25"/>
      <c r="C412" s="172" t="s">
        <v>67</v>
      </c>
      <c r="D412" s="172" t="s">
        <v>601</v>
      </c>
      <c r="E412" s="173">
        <f>Nacionalizado!D435</f>
        <v>4.5</v>
      </c>
      <c r="F412" s="67">
        <v>4.5</v>
      </c>
      <c r="G412" s="197"/>
      <c r="H412" s="171"/>
    </row>
    <row r="413">
      <c r="A413" s="25">
        <v>358.0</v>
      </c>
      <c r="B413" s="25" t="s">
        <v>599</v>
      </c>
      <c r="C413" s="172" t="s">
        <v>67</v>
      </c>
      <c r="D413" s="172" t="s">
        <v>602</v>
      </c>
      <c r="E413" s="173">
        <f>Nacionalizado!D436</f>
        <v>4.3</v>
      </c>
      <c r="F413" s="67">
        <f>4.3</f>
        <v>4.3</v>
      </c>
      <c r="G413" s="109"/>
      <c r="H413" s="171"/>
    </row>
    <row r="414">
      <c r="A414" s="205" t="s">
        <v>51</v>
      </c>
      <c r="B414" s="15"/>
      <c r="C414" s="15"/>
      <c r="D414" s="15"/>
      <c r="E414" s="15"/>
      <c r="F414" s="15"/>
      <c r="G414" s="65"/>
      <c r="H414" s="171"/>
    </row>
    <row r="415">
      <c r="A415" s="206">
        <v>360.0</v>
      </c>
      <c r="B415" s="207"/>
      <c r="C415" s="172" t="s">
        <v>67</v>
      </c>
      <c r="D415" s="208" t="s">
        <v>603</v>
      </c>
      <c r="E415" s="173">
        <f>Nacionalizado!D439</f>
        <v>57.55</v>
      </c>
      <c r="F415" s="209">
        <v>57.55</v>
      </c>
      <c r="G415" s="109"/>
      <c r="H415" s="171"/>
    </row>
    <row r="416">
      <c r="A416" s="205" t="s">
        <v>52</v>
      </c>
      <c r="B416" s="15"/>
      <c r="C416" s="15"/>
      <c r="D416" s="15"/>
      <c r="E416" s="15"/>
      <c r="F416" s="15"/>
      <c r="G416" s="65"/>
      <c r="H416" s="171"/>
    </row>
    <row r="417">
      <c r="A417" s="25">
        <v>361.0</v>
      </c>
      <c r="B417" s="172"/>
      <c r="C417" s="172" t="s">
        <v>604</v>
      </c>
      <c r="D417" s="172" t="s">
        <v>605</v>
      </c>
      <c r="E417" s="210">
        <f>Nacionalizado!D441</f>
        <v>13.804</v>
      </c>
      <c r="F417" s="192">
        <f>11.9*1.16</f>
        <v>13.804</v>
      </c>
      <c r="G417" s="109"/>
      <c r="H417" s="171"/>
    </row>
    <row r="418">
      <c r="A418" s="25">
        <v>362.0</v>
      </c>
      <c r="B418" s="172"/>
      <c r="C418" s="172" t="s">
        <v>604</v>
      </c>
      <c r="D418" s="172" t="s">
        <v>606</v>
      </c>
      <c r="E418" s="210">
        <f>Nacionalizado!D442</f>
        <v>29</v>
      </c>
      <c r="F418" s="192">
        <f>25*1.16</f>
        <v>29</v>
      </c>
      <c r="G418" s="109"/>
      <c r="H418" s="171"/>
    </row>
    <row r="419">
      <c r="A419" s="25">
        <v>363.0</v>
      </c>
      <c r="B419" s="172"/>
      <c r="C419" s="172" t="s">
        <v>155</v>
      </c>
      <c r="D419" s="172" t="s">
        <v>607</v>
      </c>
      <c r="E419" s="210">
        <f>Nacionalizado!D443</f>
        <v>53.1512</v>
      </c>
      <c r="F419" s="192">
        <f>45.82*1.16</f>
        <v>53.1512</v>
      </c>
      <c r="G419" s="109"/>
      <c r="H419" s="171"/>
    </row>
    <row r="420">
      <c r="A420" s="25">
        <v>364.0</v>
      </c>
      <c r="B420" s="172"/>
      <c r="C420" s="172" t="s">
        <v>342</v>
      </c>
      <c r="D420" s="172" t="s">
        <v>608</v>
      </c>
      <c r="E420" s="210">
        <f>Nacionalizado!D444</f>
        <v>84.75</v>
      </c>
      <c r="F420" s="192">
        <f>75*1.13</f>
        <v>84.75</v>
      </c>
      <c r="G420" s="109"/>
      <c r="H420" s="171"/>
    </row>
    <row r="421">
      <c r="A421" s="25">
        <v>365.0</v>
      </c>
      <c r="B421" s="172"/>
      <c r="C421" s="172" t="s">
        <v>342</v>
      </c>
      <c r="D421" s="172" t="s">
        <v>609</v>
      </c>
      <c r="E421" s="210">
        <f>Nacionalizado!D445</f>
        <v>81.2244</v>
      </c>
      <c r="F421" s="192">
        <f>71.88*1.13</f>
        <v>81.2244</v>
      </c>
      <c r="G421" s="109"/>
      <c r="H421" s="171"/>
    </row>
    <row r="422">
      <c r="A422" s="205" t="s">
        <v>53</v>
      </c>
      <c r="B422" s="15"/>
      <c r="C422" s="15"/>
      <c r="D422" s="15"/>
      <c r="E422" s="15"/>
      <c r="F422" s="15"/>
      <c r="G422" s="65"/>
      <c r="H422" s="171"/>
    </row>
    <row r="423">
      <c r="A423" s="25" t="s">
        <v>610</v>
      </c>
      <c r="B423" s="172"/>
      <c r="C423" s="172" t="s">
        <v>155</v>
      </c>
      <c r="D423" s="172" t="s">
        <v>611</v>
      </c>
      <c r="E423" s="210">
        <f>Nacionalizado!D447</f>
        <v>27.6</v>
      </c>
      <c r="F423" s="192">
        <f>24*1.15</f>
        <v>27.6</v>
      </c>
      <c r="G423" s="109"/>
      <c r="H423" s="171"/>
    </row>
    <row r="424">
      <c r="A424" s="205" t="s">
        <v>54</v>
      </c>
      <c r="B424" s="15"/>
      <c r="C424" s="15"/>
      <c r="D424" s="15"/>
      <c r="E424" s="15"/>
      <c r="F424" s="15"/>
      <c r="G424" s="65"/>
      <c r="H424" s="171"/>
    </row>
    <row r="425">
      <c r="A425" s="25">
        <v>366.0</v>
      </c>
      <c r="B425" s="172"/>
      <c r="C425" s="172" t="s">
        <v>67</v>
      </c>
      <c r="D425" s="172" t="s">
        <v>612</v>
      </c>
      <c r="E425" s="210">
        <f>Nacionalizado!D449</f>
        <v>59.024</v>
      </c>
      <c r="F425" s="211">
        <f>(40.84+(2*5.93))*1.12</f>
        <v>59.024</v>
      </c>
      <c r="H425" s="171"/>
    </row>
    <row r="426">
      <c r="A426" s="25">
        <v>367.0</v>
      </c>
      <c r="B426" s="172"/>
      <c r="C426" s="172" t="s">
        <v>67</v>
      </c>
      <c r="D426" s="172" t="s">
        <v>613</v>
      </c>
      <c r="E426" s="210">
        <f>Nacionalizado!D450</f>
        <v>133.5376</v>
      </c>
      <c r="F426" s="211">
        <f>(107.37+(2*5.93))*1.12</f>
        <v>133.5376</v>
      </c>
      <c r="G426" s="109"/>
      <c r="H426" s="171"/>
    </row>
    <row r="427">
      <c r="A427" s="25">
        <v>368.0</v>
      </c>
      <c r="B427" s="172"/>
      <c r="C427" s="172" t="s">
        <v>67</v>
      </c>
      <c r="D427" s="172" t="s">
        <v>614</v>
      </c>
      <c r="E427" s="210">
        <f>Nacionalizado!D451</f>
        <v>31.2685</v>
      </c>
      <c r="F427" s="211">
        <f>27.19*1.15</f>
        <v>31.2685</v>
      </c>
      <c r="G427" s="109"/>
      <c r="H427" s="171"/>
    </row>
    <row r="428">
      <c r="A428" s="205" t="s">
        <v>55</v>
      </c>
      <c r="B428" s="15"/>
      <c r="C428" s="15"/>
      <c r="D428" s="15"/>
      <c r="E428" s="15"/>
      <c r="F428" s="15"/>
      <c r="G428" s="65"/>
      <c r="H428" s="171"/>
    </row>
    <row r="429">
      <c r="A429" s="25">
        <v>369.0</v>
      </c>
      <c r="B429" s="172"/>
      <c r="C429" s="172" t="s">
        <v>615</v>
      </c>
      <c r="D429" s="172" t="s">
        <v>616</v>
      </c>
      <c r="E429" s="210">
        <f>Nacionalizado!D453</f>
        <v>85.2</v>
      </c>
      <c r="F429" s="211">
        <f>71*1.2</f>
        <v>85.2</v>
      </c>
      <c r="G429" s="197" t="s">
        <v>617</v>
      </c>
      <c r="H429" s="171"/>
    </row>
    <row r="430">
      <c r="A430" s="25">
        <v>370.0</v>
      </c>
      <c r="B430" s="172"/>
      <c r="C430" s="172" t="s">
        <v>73</v>
      </c>
      <c r="D430" s="172" t="s">
        <v>618</v>
      </c>
      <c r="E430" s="210">
        <f>Nacionalizado!D454</f>
        <v>121.92</v>
      </c>
      <c r="F430" s="211">
        <f>101.6*1.2</f>
        <v>121.92</v>
      </c>
      <c r="G430" s="109"/>
      <c r="H430" s="171"/>
    </row>
    <row r="431">
      <c r="A431" s="25">
        <v>371.0</v>
      </c>
      <c r="B431" s="172"/>
      <c r="C431" s="172" t="s">
        <v>73</v>
      </c>
      <c r="D431" s="172" t="s">
        <v>619</v>
      </c>
      <c r="E431" s="210">
        <f>Nacionalizado!D455</f>
        <v>151.56</v>
      </c>
      <c r="F431" s="211">
        <f>126.3*1.2</f>
        <v>151.56</v>
      </c>
      <c r="G431" s="109"/>
      <c r="H431" s="171"/>
    </row>
    <row r="432">
      <c r="A432" s="25">
        <v>372.0</v>
      </c>
      <c r="B432" s="172"/>
      <c r="C432" s="172" t="s">
        <v>221</v>
      </c>
      <c r="D432" s="172" t="s">
        <v>620</v>
      </c>
      <c r="E432" s="210">
        <f>Nacionalizado!D456</f>
        <v>161.64</v>
      </c>
      <c r="F432" s="211">
        <f>134.7*1.2</f>
        <v>161.64</v>
      </c>
      <c r="G432" s="109"/>
      <c r="H432" s="171"/>
    </row>
    <row r="433">
      <c r="A433" s="25">
        <v>373.0</v>
      </c>
      <c r="B433" s="172"/>
      <c r="C433" s="172" t="s">
        <v>221</v>
      </c>
      <c r="D433" s="172" t="s">
        <v>621</v>
      </c>
      <c r="E433" s="210">
        <f>Nacionalizado!D457</f>
        <v>179.76</v>
      </c>
      <c r="F433" s="211">
        <f>149.8*1.2</f>
        <v>179.76</v>
      </c>
      <c r="G433" s="109"/>
      <c r="H433" s="171"/>
    </row>
    <row r="434">
      <c r="A434" s="212" t="s">
        <v>622</v>
      </c>
      <c r="B434" s="15"/>
      <c r="C434" s="15"/>
      <c r="D434" s="15"/>
      <c r="E434" s="15"/>
      <c r="F434" s="15"/>
      <c r="G434" s="65"/>
      <c r="H434" s="171"/>
    </row>
    <row r="435">
      <c r="A435" s="25">
        <v>374.0</v>
      </c>
      <c r="B435" s="172"/>
      <c r="C435" s="172" t="s">
        <v>100</v>
      </c>
      <c r="D435" s="172" t="s">
        <v>623</v>
      </c>
      <c r="E435" s="210">
        <f>Nacionalizado!D459</f>
        <v>228.275</v>
      </c>
      <c r="F435" s="141">
        <f t="shared" ref="F435:F436" si="13">198.5*1.15</f>
        <v>228.275</v>
      </c>
      <c r="G435" s="109"/>
      <c r="H435" s="171"/>
    </row>
    <row r="436">
      <c r="A436" s="25">
        <v>375.0</v>
      </c>
      <c r="B436" s="172"/>
      <c r="C436" s="172" t="s">
        <v>100</v>
      </c>
      <c r="D436" s="172" t="s">
        <v>624</v>
      </c>
      <c r="E436" s="210">
        <f>Nacionalizado!D460</f>
        <v>228.275</v>
      </c>
      <c r="F436" s="141">
        <f t="shared" si="13"/>
        <v>228.275</v>
      </c>
      <c r="G436" s="109"/>
      <c r="H436" s="171"/>
    </row>
    <row r="437">
      <c r="A437" s="25">
        <v>376.0</v>
      </c>
      <c r="B437" s="172"/>
      <c r="C437" s="172" t="s">
        <v>100</v>
      </c>
      <c r="D437" s="172" t="s">
        <v>625</v>
      </c>
      <c r="E437" s="210">
        <f>Nacionalizado!D461</f>
        <v>258.52</v>
      </c>
      <c r="F437" s="141">
        <f>224.8*1.15</f>
        <v>258.52</v>
      </c>
      <c r="G437" s="109"/>
      <c r="H437" s="171"/>
    </row>
    <row r="438">
      <c r="A438" s="25">
        <v>377.0</v>
      </c>
      <c r="B438" s="172"/>
      <c r="C438" s="172" t="s">
        <v>100</v>
      </c>
      <c r="D438" s="172" t="s">
        <v>626</v>
      </c>
      <c r="E438" s="210">
        <f>Nacionalizado!D462</f>
        <v>254.955</v>
      </c>
      <c r="F438" s="141">
        <f>221.7*1.15</f>
        <v>254.955</v>
      </c>
      <c r="G438" s="109"/>
      <c r="H438" s="171"/>
    </row>
    <row r="439">
      <c r="A439" s="25">
        <v>378.0</v>
      </c>
      <c r="B439" s="172"/>
      <c r="C439" s="172" t="s">
        <v>100</v>
      </c>
      <c r="D439" s="172" t="s">
        <v>627</v>
      </c>
      <c r="E439" s="210">
        <f>Nacionalizado!D463</f>
        <v>256.795</v>
      </c>
      <c r="F439" s="141">
        <f>223.3*1.15</f>
        <v>256.795</v>
      </c>
      <c r="G439" s="109"/>
      <c r="H439" s="171"/>
    </row>
    <row r="440">
      <c r="A440" s="25">
        <v>379.0</v>
      </c>
      <c r="B440" s="172"/>
      <c r="C440" s="172" t="s">
        <v>100</v>
      </c>
      <c r="D440" s="172" t="s">
        <v>628</v>
      </c>
      <c r="E440" s="210">
        <f>Nacionalizado!D464</f>
        <v>272.09</v>
      </c>
      <c r="F440" s="200">
        <f>236.6*1.15</f>
        <v>272.09</v>
      </c>
      <c r="G440" s="109"/>
      <c r="H440" s="171"/>
    </row>
    <row r="441">
      <c r="A441" s="25">
        <v>380.0</v>
      </c>
      <c r="B441" s="172"/>
      <c r="C441" s="172" t="s">
        <v>100</v>
      </c>
      <c r="D441" s="172" t="s">
        <v>629</v>
      </c>
      <c r="E441" s="210">
        <f>Nacionalizado!D465</f>
        <v>273.7</v>
      </c>
      <c r="F441" s="200">
        <f>238*1.15</f>
        <v>273.7</v>
      </c>
      <c r="G441" s="109"/>
      <c r="H441" s="171"/>
    </row>
    <row r="442">
      <c r="A442" s="25">
        <v>381.0</v>
      </c>
      <c r="B442" s="172"/>
      <c r="C442" s="172" t="s">
        <v>100</v>
      </c>
      <c r="D442" s="172" t="s">
        <v>630</v>
      </c>
      <c r="E442" s="210">
        <f>Nacionalizado!D466</f>
        <v>292.1</v>
      </c>
      <c r="F442" s="200">
        <f>254*1.15</f>
        <v>292.1</v>
      </c>
      <c r="G442" s="109"/>
      <c r="H442" s="171"/>
    </row>
    <row r="443">
      <c r="A443" s="25">
        <v>382.0</v>
      </c>
      <c r="B443" s="172"/>
      <c r="C443" s="172" t="s">
        <v>100</v>
      </c>
      <c r="D443" s="172" t="s">
        <v>631</v>
      </c>
      <c r="E443" s="210">
        <f>Nacionalizado!D467</f>
        <v>276</v>
      </c>
      <c r="F443" s="200">
        <f>240*1.15</f>
        <v>276</v>
      </c>
      <c r="G443" s="109"/>
      <c r="H443" s="171"/>
    </row>
    <row r="444">
      <c r="A444" s="25">
        <v>383.0</v>
      </c>
      <c r="B444" s="172"/>
      <c r="C444" s="172" t="s">
        <v>100</v>
      </c>
      <c r="D444" s="172" t="s">
        <v>632</v>
      </c>
      <c r="E444" s="210">
        <f>Nacionalizado!D468</f>
        <v>286.35</v>
      </c>
      <c r="F444" s="200">
        <f>249*1.15</f>
        <v>286.35</v>
      </c>
      <c r="G444" s="109"/>
      <c r="H444" s="171"/>
    </row>
    <row r="445">
      <c r="A445" s="25">
        <v>384.0</v>
      </c>
      <c r="B445" s="172"/>
      <c r="C445" s="172" t="s">
        <v>100</v>
      </c>
      <c r="D445" s="172" t="s">
        <v>633</v>
      </c>
      <c r="E445" s="210">
        <f>Nacionalizado!D469</f>
        <v>292.1</v>
      </c>
      <c r="F445" s="200">
        <f>254*1.15</f>
        <v>292.1</v>
      </c>
      <c r="G445" s="109"/>
      <c r="H445" s="171"/>
    </row>
    <row r="446">
      <c r="A446" s="25">
        <v>385.0</v>
      </c>
      <c r="B446" s="172"/>
      <c r="C446" s="172" t="s">
        <v>100</v>
      </c>
      <c r="D446" s="172" t="s">
        <v>634</v>
      </c>
      <c r="E446" s="210">
        <f>Nacionalizado!D470</f>
        <v>332.35</v>
      </c>
      <c r="F446" s="200">
        <f>289*1.15</f>
        <v>332.35</v>
      </c>
      <c r="G446" s="109"/>
      <c r="H446" s="171"/>
    </row>
    <row r="447">
      <c r="A447" s="25">
        <v>386.0</v>
      </c>
      <c r="B447" s="172"/>
      <c r="C447" s="172" t="s">
        <v>100</v>
      </c>
      <c r="D447" s="172" t="s">
        <v>635</v>
      </c>
      <c r="E447" s="210">
        <f>Nacionalizado!D471</f>
        <v>329.82</v>
      </c>
      <c r="F447" s="200">
        <f>286.8*1.15</f>
        <v>329.82</v>
      </c>
      <c r="G447" s="109"/>
      <c r="H447" s="171"/>
    </row>
    <row r="448">
      <c r="A448" s="25">
        <v>387.0</v>
      </c>
      <c r="B448" s="172"/>
      <c r="C448" s="172" t="s">
        <v>100</v>
      </c>
      <c r="D448" s="172" t="s">
        <v>636</v>
      </c>
      <c r="E448" s="210">
        <f>Nacionalizado!D472</f>
        <v>365.7</v>
      </c>
      <c r="F448" s="200">
        <f>318*1.15</f>
        <v>365.7</v>
      </c>
      <c r="G448" s="109"/>
      <c r="H448" s="171"/>
    </row>
    <row r="449">
      <c r="A449" s="25">
        <v>388.0</v>
      </c>
      <c r="B449" s="172"/>
      <c r="C449" s="172" t="s">
        <v>100</v>
      </c>
      <c r="D449" s="172" t="s">
        <v>637</v>
      </c>
      <c r="E449" s="210">
        <f>Nacionalizado!D473</f>
        <v>393.3</v>
      </c>
      <c r="F449" s="200">
        <f>342*1.15</f>
        <v>393.3</v>
      </c>
      <c r="G449" s="109"/>
      <c r="H449" s="171"/>
    </row>
    <row r="450">
      <c r="A450" s="25">
        <v>389.0</v>
      </c>
      <c r="B450" s="172"/>
      <c r="C450" s="172" t="s">
        <v>100</v>
      </c>
      <c r="D450" s="172" t="s">
        <v>638</v>
      </c>
      <c r="E450" s="210">
        <f>Nacionalizado!D474</f>
        <v>480.125</v>
      </c>
      <c r="F450" s="200">
        <f>417.5*1.15</f>
        <v>480.125</v>
      </c>
      <c r="G450" s="109"/>
      <c r="H450" s="171"/>
    </row>
    <row r="451">
      <c r="A451" s="25">
        <v>390.0</v>
      </c>
      <c r="B451" s="172"/>
      <c r="C451" s="172" t="s">
        <v>100</v>
      </c>
      <c r="D451" s="172" t="s">
        <v>639</v>
      </c>
      <c r="E451" s="210">
        <f>Nacionalizado!D475</f>
        <v>426.65</v>
      </c>
      <c r="F451" s="200">
        <f>371*1.15</f>
        <v>426.65</v>
      </c>
      <c r="G451" s="109"/>
      <c r="H451" s="171"/>
    </row>
    <row r="452">
      <c r="A452" s="25">
        <v>391.0</v>
      </c>
      <c r="B452" s="172"/>
      <c r="C452" s="172" t="s">
        <v>100</v>
      </c>
      <c r="D452" s="172" t="s">
        <v>640</v>
      </c>
      <c r="E452" s="210">
        <f>Nacionalizado!D476</f>
        <v>462.3</v>
      </c>
      <c r="F452" s="200">
        <f>402*1.15</f>
        <v>462.3</v>
      </c>
      <c r="G452" s="109"/>
      <c r="H452" s="171"/>
    </row>
    <row r="453">
      <c r="A453" s="25">
        <v>392.0</v>
      </c>
      <c r="B453" s="172"/>
      <c r="C453" s="172" t="s">
        <v>100</v>
      </c>
      <c r="D453" s="172" t="s">
        <v>641</v>
      </c>
      <c r="E453" s="210">
        <f>Nacionalizado!D477</f>
        <v>524.4</v>
      </c>
      <c r="F453" s="200">
        <f>456*1.15</f>
        <v>524.4</v>
      </c>
      <c r="G453" s="109"/>
      <c r="H453" s="171"/>
    </row>
    <row r="454">
      <c r="A454" s="25">
        <v>393.0</v>
      </c>
      <c r="B454" s="172"/>
      <c r="C454" s="172" t="s">
        <v>100</v>
      </c>
      <c r="D454" s="172" t="s">
        <v>642</v>
      </c>
      <c r="E454" s="210">
        <f>Nacionalizado!D478</f>
        <v>630.2</v>
      </c>
      <c r="F454" s="141">
        <f>548*1.15</f>
        <v>630.2</v>
      </c>
      <c r="G454" s="109"/>
      <c r="H454" s="171"/>
    </row>
    <row r="455">
      <c r="A455" s="25">
        <v>394.0</v>
      </c>
      <c r="B455" s="172"/>
      <c r="C455" s="172" t="s">
        <v>100</v>
      </c>
      <c r="D455" s="172" t="s">
        <v>643</v>
      </c>
      <c r="E455" s="210">
        <f>Nacionalizado!D479</f>
        <v>692.3</v>
      </c>
      <c r="F455" s="141">
        <f>602*1.15</f>
        <v>692.3</v>
      </c>
      <c r="G455" s="109"/>
      <c r="H455" s="171"/>
    </row>
    <row r="456">
      <c r="A456" s="25">
        <v>395.0</v>
      </c>
      <c r="B456" s="172"/>
      <c r="C456" s="172" t="s">
        <v>100</v>
      </c>
      <c r="D456" s="172" t="s">
        <v>644</v>
      </c>
      <c r="E456" s="210">
        <f>Nacionalizado!D480</f>
        <v>731.4</v>
      </c>
      <c r="F456" s="141">
        <f>636*1.15</f>
        <v>731.4</v>
      </c>
      <c r="G456" s="109"/>
      <c r="H456" s="171"/>
    </row>
    <row r="457">
      <c r="A457" s="212" t="s">
        <v>57</v>
      </c>
      <c r="B457" s="15"/>
      <c r="C457" s="15"/>
      <c r="D457" s="15"/>
      <c r="E457" s="15"/>
      <c r="F457" s="15"/>
      <c r="G457" s="65"/>
      <c r="H457" s="171"/>
    </row>
    <row r="458">
      <c r="A458" s="25">
        <v>396.0</v>
      </c>
      <c r="B458" s="172"/>
      <c r="C458" s="172" t="s">
        <v>67</v>
      </c>
      <c r="D458" s="172" t="s">
        <v>645</v>
      </c>
      <c r="E458" s="210">
        <f>Nacionalizado!D482</f>
        <v>1591.347</v>
      </c>
      <c r="F458" s="141">
        <v>1591.347</v>
      </c>
      <c r="G458" s="109"/>
      <c r="H458" s="171"/>
    </row>
    <row r="459">
      <c r="A459" s="25">
        <v>397.0</v>
      </c>
      <c r="B459" s="172"/>
      <c r="C459" s="172" t="s">
        <v>67</v>
      </c>
      <c r="D459" s="172" t="s">
        <v>646</v>
      </c>
      <c r="E459" s="210">
        <f>Nacionalizado!D483</f>
        <v>1591.347</v>
      </c>
      <c r="F459" s="141">
        <v>1591.347</v>
      </c>
      <c r="G459" s="109"/>
      <c r="H459" s="171"/>
    </row>
    <row r="460">
      <c r="A460" s="25">
        <v>398.0</v>
      </c>
      <c r="B460" s="172"/>
      <c r="C460" s="172" t="s">
        <v>67</v>
      </c>
      <c r="D460" s="172" t="s">
        <v>647</v>
      </c>
      <c r="E460" s="210">
        <f>Nacionalizado!D484</f>
        <v>1591.347</v>
      </c>
      <c r="F460" s="141">
        <v>1591.347</v>
      </c>
      <c r="G460" s="109"/>
      <c r="H460" s="171"/>
    </row>
    <row r="461">
      <c r="A461" s="25">
        <v>399.0</v>
      </c>
      <c r="B461" s="172"/>
      <c r="C461" s="172" t="s">
        <v>67</v>
      </c>
      <c r="D461" s="172" t="s">
        <v>648</v>
      </c>
      <c r="E461" s="210">
        <f>Nacionalizado!D485</f>
        <v>1591.347</v>
      </c>
      <c r="F461" s="141">
        <v>1591.347</v>
      </c>
      <c r="G461" s="109"/>
      <c r="H461" s="171"/>
    </row>
    <row r="462">
      <c r="A462" s="25">
        <v>400.0</v>
      </c>
      <c r="B462" s="172"/>
      <c r="C462" s="172" t="s">
        <v>67</v>
      </c>
      <c r="D462" s="172" t="s">
        <v>649</v>
      </c>
      <c r="E462" s="210">
        <f>Nacionalizado!D486</f>
        <v>1056.8155</v>
      </c>
      <c r="F462" s="141">
        <v>1056.8155</v>
      </c>
      <c r="G462" s="109"/>
      <c r="H462" s="171"/>
    </row>
    <row r="463">
      <c r="A463" s="25">
        <v>401.0</v>
      </c>
      <c r="B463" s="172"/>
      <c r="C463" s="172" t="s">
        <v>67</v>
      </c>
      <c r="D463" s="172" t="s">
        <v>650</v>
      </c>
      <c r="E463" s="210">
        <f>Nacionalizado!D487</f>
        <v>1742.85</v>
      </c>
      <c r="F463" s="141">
        <v>1742.85</v>
      </c>
      <c r="G463" s="109"/>
      <c r="H463" s="171"/>
    </row>
    <row r="464">
      <c r="A464" s="25">
        <v>402.0</v>
      </c>
      <c r="B464" s="172"/>
      <c r="C464" s="172" t="s">
        <v>67</v>
      </c>
      <c r="D464" s="172" t="s">
        <v>651</v>
      </c>
      <c r="E464" s="210">
        <f>Nacionalizado!D488</f>
        <v>1532.8695</v>
      </c>
      <c r="F464" s="141">
        <v>1532.8695</v>
      </c>
      <c r="G464" s="109"/>
      <c r="H464" s="171"/>
    </row>
    <row r="465">
      <c r="A465" s="25">
        <v>403.0</v>
      </c>
      <c r="B465" s="172"/>
      <c r="C465" s="172" t="s">
        <v>67</v>
      </c>
      <c r="D465" s="172" t="s">
        <v>652</v>
      </c>
      <c r="E465" s="210">
        <f>Nacionalizado!D489</f>
        <v>1532.8695</v>
      </c>
      <c r="F465" s="141">
        <v>1532.8695</v>
      </c>
      <c r="G465" s="109"/>
      <c r="H465" s="171"/>
    </row>
    <row r="466">
      <c r="A466" s="25">
        <v>404.0</v>
      </c>
      <c r="B466" s="172"/>
      <c r="C466" s="172" t="s">
        <v>67</v>
      </c>
      <c r="D466" s="172" t="s">
        <v>653</v>
      </c>
      <c r="E466" s="210">
        <f>Nacionalizado!D490</f>
        <v>1532.8695</v>
      </c>
      <c r="F466" s="141">
        <v>1532.8695</v>
      </c>
      <c r="G466" s="109"/>
      <c r="H466" s="171"/>
    </row>
    <row r="467">
      <c r="A467" s="25">
        <v>405.0</v>
      </c>
      <c r="B467" s="172"/>
      <c r="C467" s="172" t="s">
        <v>67</v>
      </c>
      <c r="D467" s="172" t="s">
        <v>654</v>
      </c>
      <c r="E467" s="210">
        <f>Nacionalizado!D491</f>
        <v>1530.144</v>
      </c>
      <c r="F467" s="141">
        <v>1530.144</v>
      </c>
      <c r="G467" s="109"/>
      <c r="H467" s="171"/>
    </row>
    <row r="468">
      <c r="A468" s="25">
        <v>406.0</v>
      </c>
      <c r="B468" s="172"/>
      <c r="C468" s="172" t="s">
        <v>67</v>
      </c>
      <c r="D468" s="172" t="s">
        <v>655</v>
      </c>
      <c r="E468" s="210">
        <f>Nacionalizado!D492</f>
        <v>1530.144</v>
      </c>
      <c r="F468" s="141">
        <v>1530.144</v>
      </c>
      <c r="G468" s="109"/>
      <c r="H468" s="171"/>
    </row>
    <row r="469">
      <c r="A469" s="25">
        <v>407.0</v>
      </c>
      <c r="B469" s="172"/>
      <c r="C469" s="172" t="s">
        <v>67</v>
      </c>
      <c r="D469" s="172" t="s">
        <v>656</v>
      </c>
      <c r="E469" s="210">
        <f>Nacionalizado!D493</f>
        <v>1530.144</v>
      </c>
      <c r="F469" s="141">
        <v>1530.144</v>
      </c>
      <c r="G469" s="109"/>
      <c r="H469" s="171"/>
    </row>
    <row r="470">
      <c r="A470" s="25">
        <v>408.0</v>
      </c>
      <c r="B470" s="172"/>
      <c r="C470" s="172" t="s">
        <v>67</v>
      </c>
      <c r="D470" s="172" t="s">
        <v>657</v>
      </c>
      <c r="E470" s="210">
        <f>Nacionalizado!D494</f>
        <v>1530.144</v>
      </c>
      <c r="F470" s="141">
        <v>1530.144</v>
      </c>
      <c r="G470" s="109"/>
      <c r="H470" s="171"/>
    </row>
    <row r="471">
      <c r="A471" s="25">
        <v>409.0</v>
      </c>
      <c r="B471" s="172"/>
      <c r="C471" s="172" t="s">
        <v>67</v>
      </c>
      <c r="D471" s="172" t="s">
        <v>658</v>
      </c>
      <c r="E471" s="210">
        <f>Nacionalizado!D495</f>
        <v>1530.144</v>
      </c>
      <c r="F471" s="141">
        <v>1530.144</v>
      </c>
      <c r="G471" s="109"/>
      <c r="H471" s="171"/>
    </row>
    <row r="472">
      <c r="A472" s="25">
        <v>410.0</v>
      </c>
      <c r="B472" s="172"/>
      <c r="C472" s="172" t="s">
        <v>67</v>
      </c>
      <c r="D472" s="172" t="s">
        <v>659</v>
      </c>
      <c r="E472" s="210">
        <f>Nacionalizado!D496</f>
        <v>1932.736</v>
      </c>
      <c r="F472" s="141">
        <v>1932.736</v>
      </c>
      <c r="G472" s="109"/>
      <c r="H472" s="171"/>
    </row>
    <row r="473">
      <c r="A473" s="25">
        <v>411.0</v>
      </c>
      <c r="B473" s="172"/>
      <c r="C473" s="172" t="s">
        <v>67</v>
      </c>
      <c r="D473" s="172" t="s">
        <v>660</v>
      </c>
      <c r="E473" s="210">
        <f>Nacionalizado!D497</f>
        <v>2002.1155</v>
      </c>
      <c r="F473" s="141">
        <v>2002.1155</v>
      </c>
      <c r="G473" s="109"/>
      <c r="H473" s="171"/>
    </row>
    <row r="474">
      <c r="A474" s="25">
        <v>412.0</v>
      </c>
      <c r="B474" s="172"/>
      <c r="C474" s="172" t="s">
        <v>67</v>
      </c>
      <c r="D474" s="172" t="s">
        <v>661</v>
      </c>
      <c r="E474" s="210">
        <f>Nacionalizado!D498</f>
        <v>2029.313</v>
      </c>
      <c r="F474" s="141">
        <v>2029.313</v>
      </c>
      <c r="G474" s="109"/>
      <c r="H474" s="171"/>
    </row>
    <row r="475">
      <c r="A475" s="25">
        <v>413.0</v>
      </c>
      <c r="B475" s="172"/>
      <c r="C475" s="172" t="s">
        <v>67</v>
      </c>
      <c r="D475" s="172" t="s">
        <v>662</v>
      </c>
      <c r="E475" s="210">
        <f>Nacionalizado!D499</f>
        <v>1153.381</v>
      </c>
      <c r="F475" s="141">
        <v>1153.381</v>
      </c>
      <c r="G475" s="109"/>
      <c r="H475" s="171"/>
    </row>
    <row r="476">
      <c r="A476" s="25">
        <v>414.0</v>
      </c>
      <c r="B476" s="172"/>
      <c r="C476" s="172" t="s">
        <v>67</v>
      </c>
      <c r="D476" s="172" t="s">
        <v>663</v>
      </c>
      <c r="E476" s="210">
        <f>Nacionalizado!D500</f>
        <v>30.613</v>
      </c>
      <c r="F476" s="141">
        <v>30.613</v>
      </c>
      <c r="G476" s="109"/>
      <c r="H476" s="171"/>
    </row>
    <row r="477">
      <c r="A477" s="25">
        <v>415.0</v>
      </c>
      <c r="B477" s="172"/>
      <c r="C477" s="172" t="s">
        <v>67</v>
      </c>
      <c r="D477" s="172" t="s">
        <v>664</v>
      </c>
      <c r="E477" s="210">
        <f>Nacionalizado!D501</f>
        <v>115.7245</v>
      </c>
      <c r="F477" s="141">
        <v>115.7245</v>
      </c>
      <c r="G477" s="109"/>
      <c r="H477" s="171"/>
    </row>
    <row r="478">
      <c r="A478" s="25">
        <v>416.0</v>
      </c>
      <c r="B478" s="172"/>
      <c r="C478" s="172" t="s">
        <v>67</v>
      </c>
      <c r="D478" s="172" t="s">
        <v>665</v>
      </c>
      <c r="E478" s="210">
        <f>Nacionalizado!D502</f>
        <v>152.0875</v>
      </c>
      <c r="F478" s="141">
        <v>152.0875</v>
      </c>
      <c r="G478" s="109"/>
      <c r="H478" s="171"/>
    </row>
    <row r="479">
      <c r="A479" s="25">
        <v>417.0</v>
      </c>
      <c r="B479" s="172"/>
      <c r="C479" s="172" t="s">
        <v>67</v>
      </c>
      <c r="D479" s="172" t="s">
        <v>666</v>
      </c>
      <c r="E479" s="210">
        <f>Nacionalizado!D503</f>
        <v>931.0745</v>
      </c>
      <c r="F479" s="141">
        <v>931.0745</v>
      </c>
      <c r="G479" s="109"/>
      <c r="H479" s="171"/>
    </row>
    <row r="480">
      <c r="A480" s="25">
        <v>418.0</v>
      </c>
      <c r="B480" s="172"/>
      <c r="C480" s="172" t="s">
        <v>67</v>
      </c>
      <c r="D480" s="172" t="s">
        <v>667</v>
      </c>
      <c r="E480" s="210">
        <f>Nacionalizado!D504</f>
        <v>731.7565</v>
      </c>
      <c r="F480" s="141">
        <v>731.7565</v>
      </c>
      <c r="G480" s="109"/>
      <c r="H480" s="171"/>
    </row>
    <row r="481">
      <c r="A481" s="25">
        <v>419.0</v>
      </c>
      <c r="B481" s="172"/>
      <c r="C481" s="172" t="s">
        <v>67</v>
      </c>
      <c r="D481" s="172" t="s">
        <v>668</v>
      </c>
      <c r="E481" s="210">
        <f>Nacionalizado!D505</f>
        <v>489.647</v>
      </c>
      <c r="F481" s="141">
        <v>489.647</v>
      </c>
      <c r="G481" s="109"/>
      <c r="H481" s="171"/>
    </row>
    <row r="482">
      <c r="A482" s="25">
        <v>420.0</v>
      </c>
      <c r="B482" s="172"/>
      <c r="C482" s="172" t="s">
        <v>67</v>
      </c>
      <c r="D482" s="172" t="s">
        <v>669</v>
      </c>
      <c r="E482" s="210">
        <f>Nacionalizado!D506</f>
        <v>0.0805</v>
      </c>
      <c r="F482" s="141">
        <v>0.0805</v>
      </c>
      <c r="G482" s="109"/>
      <c r="H482" s="171"/>
    </row>
    <row r="483">
      <c r="A483" s="25">
        <v>421.0</v>
      </c>
      <c r="B483" s="172"/>
      <c r="C483" s="172" t="s">
        <v>67</v>
      </c>
      <c r="D483" s="172" t="s">
        <v>670</v>
      </c>
      <c r="E483" s="210">
        <f>Nacionalizado!D507</f>
        <v>0.0575</v>
      </c>
      <c r="F483" s="141">
        <v>0.0575</v>
      </c>
      <c r="G483" s="109"/>
      <c r="H483" s="171"/>
    </row>
    <row r="484">
      <c r="A484" s="25">
        <v>422.0</v>
      </c>
      <c r="B484" s="172"/>
      <c r="C484" s="172" t="s">
        <v>67</v>
      </c>
      <c r="D484" s="172" t="s">
        <v>671</v>
      </c>
      <c r="E484" s="210">
        <f>Nacionalizado!D508</f>
        <v>24.9895</v>
      </c>
      <c r="F484" s="141">
        <v>24.9895</v>
      </c>
      <c r="G484" s="109"/>
      <c r="H484" s="171"/>
    </row>
    <row r="485">
      <c r="A485" s="25">
        <v>423.0</v>
      </c>
      <c r="B485" s="172"/>
      <c r="C485" s="172" t="s">
        <v>67</v>
      </c>
      <c r="D485" s="172" t="s">
        <v>672</v>
      </c>
      <c r="E485" s="210">
        <f>Nacionalizado!D509</f>
        <v>83.0185</v>
      </c>
      <c r="F485" s="141">
        <v>83.0185</v>
      </c>
      <c r="G485" s="109"/>
      <c r="H485" s="171"/>
    </row>
    <row r="486">
      <c r="A486" s="25">
        <v>424.0</v>
      </c>
      <c r="B486" s="172"/>
      <c r="C486" s="172" t="s">
        <v>67</v>
      </c>
      <c r="D486" s="172" t="s">
        <v>673</v>
      </c>
      <c r="E486" s="210">
        <f>Nacionalizado!D510</f>
        <v>80.9485</v>
      </c>
      <c r="F486" s="141">
        <v>80.9485</v>
      </c>
      <c r="G486" s="109"/>
      <c r="H486" s="171"/>
    </row>
    <row r="487">
      <c r="A487" s="25">
        <v>425.0</v>
      </c>
      <c r="B487" s="172"/>
      <c r="C487" s="172" t="s">
        <v>67</v>
      </c>
      <c r="D487" s="172" t="s">
        <v>674</v>
      </c>
      <c r="E487" s="210">
        <f>Nacionalizado!D511</f>
        <v>5.658</v>
      </c>
      <c r="F487" s="141">
        <v>5.658</v>
      </c>
      <c r="G487" s="109"/>
      <c r="H487" s="171"/>
    </row>
    <row r="488">
      <c r="A488" s="25">
        <v>426.0</v>
      </c>
      <c r="B488" s="172"/>
      <c r="C488" s="172" t="s">
        <v>67</v>
      </c>
      <c r="D488" s="172" t="s">
        <v>675</v>
      </c>
      <c r="E488" s="210">
        <f>Nacionalizado!D512</f>
        <v>41.239</v>
      </c>
      <c r="F488" s="141">
        <v>41.239</v>
      </c>
      <c r="G488" s="109"/>
      <c r="H488" s="171"/>
    </row>
    <row r="489">
      <c r="A489" s="213" t="s">
        <v>58</v>
      </c>
      <c r="B489" s="15"/>
      <c r="C489" s="15"/>
      <c r="D489" s="15"/>
      <c r="E489" s="15"/>
      <c r="F489" s="15"/>
      <c r="G489" s="65"/>
      <c r="H489" s="171"/>
    </row>
    <row r="490">
      <c r="A490" s="25">
        <v>427.0</v>
      </c>
      <c r="B490" s="172" t="s">
        <v>114</v>
      </c>
      <c r="C490" s="172" t="s">
        <v>67</v>
      </c>
      <c r="D490" s="172" t="s">
        <v>676</v>
      </c>
      <c r="E490" s="210">
        <f>Nacionalizado!D514</f>
        <v>1415.7</v>
      </c>
      <c r="F490" s="141">
        <f>1210*1.17</f>
        <v>1415.7</v>
      </c>
      <c r="G490" s="109"/>
      <c r="H490" s="171"/>
    </row>
    <row r="491">
      <c r="A491" s="25">
        <v>428.0</v>
      </c>
      <c r="B491" s="172" t="s">
        <v>114</v>
      </c>
      <c r="C491" s="172" t="s">
        <v>67</v>
      </c>
      <c r="D491" s="172" t="s">
        <v>677</v>
      </c>
      <c r="E491" s="210">
        <f>Nacionalizado!D515</f>
        <v>965.25</v>
      </c>
      <c r="F491" s="141">
        <f>825*1.17</f>
        <v>965.25</v>
      </c>
      <c r="G491" s="109"/>
      <c r="H491" s="171"/>
    </row>
    <row r="492">
      <c r="A492" s="25">
        <v>429.0</v>
      </c>
      <c r="B492" s="172"/>
      <c r="C492" s="172" t="s">
        <v>67</v>
      </c>
      <c r="D492" s="172" t="s">
        <v>678</v>
      </c>
      <c r="E492" s="210">
        <f>Nacionalizado!D516</f>
        <v>909.09</v>
      </c>
      <c r="F492" s="141">
        <f>777*1.17</f>
        <v>909.09</v>
      </c>
      <c r="G492" s="109"/>
      <c r="H492" s="171"/>
    </row>
    <row r="493">
      <c r="A493" s="25">
        <v>430.0</v>
      </c>
      <c r="B493" s="172"/>
      <c r="C493" s="172" t="s">
        <v>67</v>
      </c>
      <c r="D493" s="172" t="s">
        <v>679</v>
      </c>
      <c r="E493" s="210">
        <f>Nacionalizado!D517</f>
        <v>409.5</v>
      </c>
      <c r="F493" s="141">
        <f>350*1.17</f>
        <v>409.5</v>
      </c>
      <c r="G493" s="109"/>
      <c r="H493" s="171"/>
    </row>
    <row r="494">
      <c r="A494" s="25">
        <v>431.0</v>
      </c>
      <c r="B494" s="172"/>
      <c r="C494" s="172" t="s">
        <v>67</v>
      </c>
      <c r="D494" s="172" t="s">
        <v>680</v>
      </c>
      <c r="E494" s="210">
        <f>Nacionalizado!D518</f>
        <v>700</v>
      </c>
      <c r="F494" s="141"/>
      <c r="G494" s="109"/>
      <c r="H494" s="171"/>
    </row>
    <row r="495">
      <c r="A495" s="25">
        <v>432.0</v>
      </c>
      <c r="B495" s="172"/>
      <c r="C495" s="172" t="s">
        <v>402</v>
      </c>
      <c r="D495" s="172" t="s">
        <v>410</v>
      </c>
      <c r="E495" s="214">
        <f>Nacionalizado!D519</f>
        <v>16800</v>
      </c>
      <c r="F495" s="193">
        <v>16800.0</v>
      </c>
      <c r="G495" s="109"/>
      <c r="H495" s="171"/>
    </row>
    <row r="496">
      <c r="A496" s="215" t="s">
        <v>59</v>
      </c>
      <c r="B496" s="15"/>
      <c r="C496" s="15"/>
      <c r="D496" s="15"/>
      <c r="E496" s="15"/>
      <c r="F496" s="15"/>
      <c r="G496" s="65"/>
      <c r="H496" s="171"/>
    </row>
    <row r="497">
      <c r="A497" s="25">
        <v>433.0</v>
      </c>
      <c r="B497" s="172"/>
      <c r="C497" s="172" t="s">
        <v>73</v>
      </c>
      <c r="D497" s="172" t="s">
        <v>681</v>
      </c>
      <c r="E497" s="210">
        <f>Nacionalizado!D521</f>
        <v>608.4</v>
      </c>
      <c r="F497" s="141">
        <f>468*1.3</f>
        <v>608.4</v>
      </c>
      <c r="G497" s="109"/>
      <c r="H497" s="171"/>
    </row>
    <row r="498">
      <c r="A498" s="25">
        <v>434.0</v>
      </c>
      <c r="B498" s="172"/>
      <c r="C498" s="172" t="s">
        <v>73</v>
      </c>
      <c r="D498" s="172" t="s">
        <v>682</v>
      </c>
      <c r="E498" s="210">
        <f>Nacionalizado!D522</f>
        <v>1129.7</v>
      </c>
      <c r="F498" s="141">
        <f>869*1.3</f>
        <v>1129.7</v>
      </c>
      <c r="G498" s="109"/>
      <c r="H498" s="171"/>
    </row>
    <row r="499">
      <c r="A499" s="25">
        <v>435.0</v>
      </c>
      <c r="B499" s="172"/>
      <c r="C499" s="172" t="s">
        <v>67</v>
      </c>
      <c r="D499" s="172" t="s">
        <v>683</v>
      </c>
      <c r="E499" s="210">
        <f>Nacionalizado!D523</f>
        <v>260</v>
      </c>
      <c r="F499" s="141">
        <v>260.0</v>
      </c>
      <c r="G499" s="109"/>
      <c r="H499" s="171"/>
    </row>
    <row r="500">
      <c r="A500" s="25">
        <v>436.0</v>
      </c>
      <c r="B500" s="172"/>
      <c r="C500" s="172" t="s">
        <v>67</v>
      </c>
      <c r="D500" s="172" t="s">
        <v>684</v>
      </c>
      <c r="E500" s="210">
        <f>Nacionalizado!D524</f>
        <v>465</v>
      </c>
      <c r="F500" s="141">
        <v>465.0</v>
      </c>
      <c r="G500" s="109"/>
      <c r="H500" s="171"/>
    </row>
    <row r="501">
      <c r="A501" s="25">
        <v>437.0</v>
      </c>
      <c r="B501" s="172"/>
      <c r="C501" s="172" t="s">
        <v>67</v>
      </c>
      <c r="D501" s="172" t="s">
        <v>685</v>
      </c>
      <c r="E501" s="210">
        <f>Nacionalizado!D525</f>
        <v>1040</v>
      </c>
      <c r="F501" s="141">
        <v>1040.0</v>
      </c>
      <c r="G501" s="109"/>
      <c r="H501" s="171"/>
    </row>
    <row r="502">
      <c r="A502" s="25">
        <v>438.0</v>
      </c>
      <c r="B502" s="172"/>
      <c r="C502" s="172" t="s">
        <v>67</v>
      </c>
      <c r="D502" s="172" t="s">
        <v>686</v>
      </c>
      <c r="E502" s="210">
        <f>Nacionalizado!D526</f>
        <v>1725</v>
      </c>
      <c r="F502" s="141">
        <v>1725.0</v>
      </c>
      <c r="G502" s="109"/>
      <c r="H502" s="171"/>
    </row>
    <row r="503">
      <c r="A503" s="25">
        <v>439.0</v>
      </c>
      <c r="B503" s="172"/>
      <c r="C503" s="172" t="s">
        <v>67</v>
      </c>
      <c r="D503" s="172" t="s">
        <v>687</v>
      </c>
      <c r="E503" s="210">
        <f>Nacionalizado!D527</f>
        <v>2300</v>
      </c>
      <c r="F503" s="141">
        <v>2300.0</v>
      </c>
      <c r="G503" s="109"/>
      <c r="H503" s="171"/>
    </row>
    <row r="504">
      <c r="A504" s="25">
        <v>440.0</v>
      </c>
      <c r="B504" s="172"/>
      <c r="C504" s="172" t="s">
        <v>67</v>
      </c>
      <c r="D504" s="172" t="s">
        <v>688</v>
      </c>
      <c r="E504" s="210">
        <f>Nacionalizado!D528</f>
        <v>1400</v>
      </c>
      <c r="F504" s="141">
        <v>1400.0</v>
      </c>
      <c r="G504" s="109"/>
      <c r="H504" s="171"/>
    </row>
    <row r="505">
      <c r="A505" s="25">
        <v>441.0</v>
      </c>
      <c r="B505" s="172"/>
      <c r="C505" s="172" t="s">
        <v>67</v>
      </c>
      <c r="D505" s="172" t="s">
        <v>689</v>
      </c>
      <c r="E505" s="210">
        <f>Nacionalizado!D529</f>
        <v>950</v>
      </c>
      <c r="F505" s="141">
        <v>950.0</v>
      </c>
      <c r="G505" s="109"/>
      <c r="H505" s="171"/>
    </row>
    <row r="506">
      <c r="A506" s="25">
        <v>442.0</v>
      </c>
      <c r="B506" s="172"/>
      <c r="C506" s="172" t="s">
        <v>67</v>
      </c>
      <c r="D506" s="172" t="s">
        <v>690</v>
      </c>
      <c r="E506" s="210">
        <f>Nacionalizado!D530</f>
        <v>1550</v>
      </c>
      <c r="F506" s="141">
        <v>1550.0</v>
      </c>
      <c r="G506" s="109"/>
      <c r="H506" s="171"/>
    </row>
    <row r="507">
      <c r="A507" s="25">
        <v>443.0</v>
      </c>
      <c r="B507" s="172"/>
      <c r="C507" s="172" t="s">
        <v>73</v>
      </c>
      <c r="D507" s="172" t="s">
        <v>691</v>
      </c>
      <c r="E507" s="210">
        <f>Nacionalizado!D531</f>
        <v>2600</v>
      </c>
      <c r="F507" s="141">
        <v>2600.0</v>
      </c>
      <c r="G507" s="109"/>
      <c r="H507" s="171"/>
    </row>
    <row r="508">
      <c r="A508" s="25">
        <v>444.0</v>
      </c>
      <c r="B508" s="172"/>
      <c r="C508" s="172" t="s">
        <v>692</v>
      </c>
      <c r="D508" s="172" t="s">
        <v>693</v>
      </c>
      <c r="E508" s="210">
        <f>Nacionalizado!D532</f>
        <v>231.3</v>
      </c>
      <c r="F508" s="141">
        <v>231.3</v>
      </c>
      <c r="G508" s="109"/>
      <c r="H508" s="171"/>
    </row>
    <row r="509">
      <c r="A509" s="216" t="s">
        <v>60</v>
      </c>
      <c r="B509" s="15"/>
      <c r="C509" s="15"/>
      <c r="D509" s="15"/>
      <c r="E509" s="15"/>
      <c r="F509" s="15"/>
      <c r="G509" s="65"/>
      <c r="H509" s="171"/>
    </row>
    <row r="510">
      <c r="A510" s="25">
        <v>445.0</v>
      </c>
      <c r="B510" s="172"/>
      <c r="C510" s="172" t="s">
        <v>67</v>
      </c>
      <c r="D510" s="172" t="s">
        <v>694</v>
      </c>
      <c r="E510" s="210" t="str">
        <f>Nacionalizado!D534</f>
        <v>605,78</v>
      </c>
      <c r="F510" s="109"/>
      <c r="G510" s="109"/>
      <c r="H510" s="171"/>
    </row>
    <row r="511">
      <c r="A511" s="25">
        <v>446.0</v>
      </c>
      <c r="B511" s="172"/>
      <c r="C511" s="172" t="s">
        <v>67</v>
      </c>
      <c r="D511" s="172" t="s">
        <v>695</v>
      </c>
      <c r="E511" s="210" t="str">
        <f>Nacionalizado!D535</f>
        <v>607,43</v>
      </c>
      <c r="F511" s="109"/>
      <c r="G511" s="109"/>
      <c r="H511" s="171"/>
    </row>
    <row r="512">
      <c r="A512" s="25">
        <v>447.0</v>
      </c>
      <c r="B512" s="172"/>
      <c r="C512" s="172" t="s">
        <v>67</v>
      </c>
      <c r="D512" s="172" t="s">
        <v>696</v>
      </c>
      <c r="E512" s="210" t="str">
        <f>Nacionalizado!D536</f>
        <v>729,75</v>
      </c>
      <c r="F512" s="109"/>
      <c r="G512" s="109"/>
      <c r="H512" s="171"/>
    </row>
    <row r="513">
      <c r="A513" s="25">
        <v>448.0</v>
      </c>
      <c r="B513" s="172"/>
      <c r="C513" s="172" t="s">
        <v>67</v>
      </c>
      <c r="D513" s="172" t="s">
        <v>697</v>
      </c>
      <c r="E513" s="210" t="str">
        <f>Nacionalizado!D537</f>
        <v>1295,04</v>
      </c>
      <c r="F513" s="109"/>
      <c r="G513" s="109"/>
      <c r="H513" s="171"/>
    </row>
    <row r="514">
      <c r="A514" s="217"/>
      <c r="B514" s="158"/>
      <c r="C514" s="160"/>
      <c r="D514" s="160"/>
      <c r="E514" s="218"/>
      <c r="H514" s="171"/>
    </row>
    <row r="515">
      <c r="A515" s="217"/>
      <c r="B515" s="158"/>
      <c r="C515" s="160"/>
      <c r="D515" s="160"/>
      <c r="E515" s="218"/>
      <c r="H515" s="171"/>
    </row>
    <row r="516">
      <c r="A516" s="217"/>
      <c r="B516" s="158"/>
      <c r="C516" s="163"/>
      <c r="D516" s="163" t="s">
        <v>65</v>
      </c>
      <c r="E516" s="218"/>
      <c r="H516" s="171"/>
    </row>
    <row r="517">
      <c r="A517" s="217"/>
      <c r="B517" s="158"/>
      <c r="C517" s="160"/>
      <c r="D517" s="160"/>
      <c r="E517" s="218"/>
      <c r="H517" s="171"/>
    </row>
    <row r="518">
      <c r="A518" s="217"/>
      <c r="B518" s="158"/>
      <c r="C518" s="160"/>
      <c r="D518" s="160"/>
      <c r="E518" s="218"/>
      <c r="H518" s="171"/>
    </row>
    <row r="519">
      <c r="A519" s="217"/>
      <c r="B519" s="158"/>
      <c r="C519" s="160"/>
      <c r="D519" s="160"/>
      <c r="E519" s="218"/>
      <c r="H519" s="171"/>
    </row>
    <row r="520">
      <c r="A520" s="217"/>
      <c r="B520" s="164"/>
      <c r="C520" s="160"/>
      <c r="D520" s="160"/>
      <c r="E520" s="218"/>
      <c r="H520" s="171"/>
    </row>
    <row r="521">
      <c r="A521" s="217"/>
      <c r="B521" s="158"/>
      <c r="C521" s="160"/>
      <c r="D521" s="160"/>
      <c r="E521" s="218"/>
      <c r="H521" s="171"/>
    </row>
    <row r="522">
      <c r="A522" s="217"/>
      <c r="B522" s="158"/>
      <c r="C522" s="160"/>
      <c r="D522" s="160"/>
      <c r="E522" s="218"/>
      <c r="H522" s="171"/>
    </row>
    <row r="523">
      <c r="A523" s="217"/>
      <c r="B523" s="158"/>
      <c r="C523" s="160"/>
      <c r="D523" s="160"/>
      <c r="E523" s="218"/>
      <c r="H523" s="171"/>
    </row>
    <row r="524">
      <c r="A524" s="217"/>
      <c r="B524" s="158"/>
      <c r="C524" s="160"/>
      <c r="D524" s="160"/>
      <c r="E524" s="218"/>
      <c r="H524" s="171"/>
    </row>
    <row r="525">
      <c r="A525" s="217"/>
      <c r="B525" s="164"/>
      <c r="C525" s="160"/>
      <c r="D525" s="160"/>
      <c r="E525" s="218"/>
      <c r="H525" s="171"/>
    </row>
    <row r="526">
      <c r="A526" s="217"/>
      <c r="B526" s="164"/>
      <c r="C526" s="160"/>
      <c r="D526" s="160"/>
      <c r="E526" s="218"/>
      <c r="H526" s="171"/>
    </row>
    <row r="527">
      <c r="A527" s="217"/>
      <c r="B527" s="164"/>
      <c r="C527" s="160"/>
      <c r="D527" s="160"/>
      <c r="E527" s="218"/>
      <c r="H527" s="171"/>
    </row>
    <row r="528">
      <c r="A528" s="217"/>
      <c r="B528" s="164"/>
      <c r="C528" s="160"/>
      <c r="D528" s="160"/>
      <c r="E528" s="218"/>
      <c r="H528" s="171"/>
    </row>
    <row r="529">
      <c r="A529" s="217"/>
      <c r="B529" s="164"/>
      <c r="C529" s="160"/>
      <c r="D529" s="160"/>
      <c r="E529" s="218"/>
      <c r="H529" s="171"/>
    </row>
    <row r="530">
      <c r="A530" s="217"/>
      <c r="B530" s="164"/>
      <c r="C530" s="160"/>
      <c r="D530" s="160"/>
      <c r="E530" s="218"/>
      <c r="H530" s="171"/>
    </row>
    <row r="531">
      <c r="A531" s="217"/>
      <c r="B531" s="164"/>
      <c r="C531" s="160"/>
      <c r="D531" s="160"/>
      <c r="E531" s="218"/>
      <c r="H531" s="171"/>
    </row>
    <row r="532">
      <c r="A532" s="217"/>
      <c r="B532" s="164"/>
      <c r="C532" s="160"/>
      <c r="D532" s="160"/>
      <c r="E532" s="218"/>
      <c r="H532" s="171"/>
    </row>
    <row r="533">
      <c r="A533" s="217"/>
      <c r="B533" s="164"/>
      <c r="C533" s="160"/>
      <c r="D533" s="160"/>
      <c r="E533" s="218"/>
      <c r="H533" s="171"/>
    </row>
    <row r="534">
      <c r="A534" s="217"/>
      <c r="B534" s="164"/>
      <c r="C534" s="160"/>
      <c r="D534" s="160"/>
      <c r="E534" s="218"/>
      <c r="H534" s="171"/>
    </row>
    <row r="535">
      <c r="A535" s="217"/>
      <c r="B535" s="164"/>
      <c r="C535" s="160"/>
      <c r="D535" s="160"/>
      <c r="E535" s="218"/>
      <c r="H535" s="171"/>
    </row>
    <row r="536">
      <c r="A536" s="217"/>
      <c r="B536" s="164"/>
      <c r="C536" s="160"/>
      <c r="D536" s="160"/>
      <c r="E536" s="218"/>
      <c r="H536" s="171"/>
    </row>
    <row r="537">
      <c r="A537" s="217"/>
      <c r="B537" s="164"/>
      <c r="C537" s="160"/>
      <c r="D537" s="160"/>
      <c r="E537" s="218"/>
      <c r="H537" s="171"/>
    </row>
    <row r="538">
      <c r="A538" s="217"/>
      <c r="B538" s="164"/>
      <c r="C538" s="160"/>
      <c r="D538" s="160"/>
      <c r="E538" s="218"/>
      <c r="H538" s="171"/>
    </row>
    <row r="539">
      <c r="A539" s="217"/>
      <c r="B539" s="164"/>
      <c r="C539" s="160"/>
      <c r="D539" s="160"/>
      <c r="E539" s="218"/>
      <c r="H539" s="171"/>
    </row>
    <row r="540">
      <c r="A540" s="217"/>
      <c r="B540" s="164"/>
      <c r="C540" s="160"/>
      <c r="D540" s="160"/>
      <c r="E540" s="218"/>
      <c r="H540" s="171"/>
    </row>
    <row r="541">
      <c r="A541" s="217"/>
      <c r="B541" s="164"/>
      <c r="C541" s="160"/>
      <c r="D541" s="160"/>
      <c r="E541" s="218"/>
      <c r="H541" s="171"/>
    </row>
    <row r="542">
      <c r="A542" s="217"/>
      <c r="B542" s="164"/>
      <c r="C542" s="160"/>
      <c r="D542" s="160"/>
      <c r="E542" s="218"/>
      <c r="H542" s="171"/>
    </row>
    <row r="543">
      <c r="A543" s="217"/>
      <c r="B543" s="164"/>
      <c r="C543" s="160"/>
      <c r="D543" s="160"/>
      <c r="E543" s="218"/>
      <c r="H543" s="171"/>
    </row>
    <row r="544">
      <c r="A544" s="217"/>
      <c r="B544" s="164"/>
      <c r="C544" s="160"/>
      <c r="D544" s="160"/>
      <c r="E544" s="218"/>
      <c r="H544" s="171"/>
    </row>
    <row r="545">
      <c r="A545" s="217"/>
      <c r="B545" s="164"/>
      <c r="C545" s="160"/>
      <c r="D545" s="160"/>
      <c r="E545" s="218"/>
      <c r="H545" s="171"/>
    </row>
    <row r="546">
      <c r="A546" s="217"/>
      <c r="B546" s="164"/>
      <c r="C546" s="160"/>
      <c r="D546" s="160"/>
      <c r="E546" s="218"/>
      <c r="H546" s="171"/>
    </row>
    <row r="547">
      <c r="A547" s="217"/>
      <c r="B547" s="164"/>
      <c r="C547" s="160"/>
      <c r="D547" s="160"/>
      <c r="E547" s="218"/>
      <c r="H547" s="171"/>
    </row>
    <row r="548">
      <c r="A548" s="217"/>
      <c r="B548" s="164"/>
      <c r="C548" s="160"/>
      <c r="D548" s="160"/>
      <c r="E548" s="218"/>
      <c r="H548" s="171"/>
    </row>
    <row r="549">
      <c r="A549" s="217"/>
      <c r="B549" s="164"/>
      <c r="C549" s="160"/>
      <c r="D549" s="160"/>
      <c r="E549" s="218"/>
      <c r="H549" s="171"/>
    </row>
    <row r="550">
      <c r="A550" s="217"/>
      <c r="B550" s="164"/>
      <c r="C550" s="160"/>
      <c r="D550" s="160"/>
      <c r="E550" s="218"/>
      <c r="H550" s="171"/>
    </row>
    <row r="551">
      <c r="A551" s="217"/>
      <c r="B551" s="164"/>
      <c r="C551" s="160"/>
      <c r="D551" s="160"/>
      <c r="E551" s="218"/>
      <c r="H551" s="171"/>
    </row>
    <row r="552">
      <c r="A552" s="217"/>
      <c r="B552" s="164"/>
      <c r="C552" s="160"/>
      <c r="D552" s="160"/>
      <c r="E552" s="218"/>
      <c r="H552" s="171"/>
    </row>
    <row r="553">
      <c r="A553" s="217"/>
      <c r="B553" s="164"/>
      <c r="C553" s="160"/>
      <c r="D553" s="160"/>
      <c r="E553" s="218"/>
      <c r="H553" s="171"/>
    </row>
    <row r="554">
      <c r="A554" s="217"/>
      <c r="B554" s="164"/>
      <c r="C554" s="160"/>
      <c r="D554" s="160"/>
      <c r="E554" s="218"/>
      <c r="H554" s="171"/>
    </row>
    <row r="555">
      <c r="A555" s="217"/>
      <c r="B555" s="164"/>
      <c r="C555" s="160"/>
      <c r="D555" s="160"/>
      <c r="E555" s="218"/>
      <c r="H555" s="171"/>
    </row>
    <row r="556">
      <c r="A556" s="217"/>
      <c r="B556" s="164"/>
      <c r="C556" s="160"/>
      <c r="D556" s="160"/>
      <c r="E556" s="218"/>
      <c r="H556" s="171"/>
    </row>
    <row r="557">
      <c r="A557" s="217"/>
      <c r="B557" s="164"/>
      <c r="C557" s="160"/>
      <c r="D557" s="160"/>
      <c r="E557" s="218"/>
      <c r="H557" s="171"/>
    </row>
    <row r="558">
      <c r="A558" s="217"/>
      <c r="B558" s="164"/>
      <c r="C558" s="160"/>
      <c r="D558" s="160"/>
      <c r="E558" s="218"/>
      <c r="H558" s="171"/>
    </row>
    <row r="559">
      <c r="A559" s="217"/>
      <c r="B559" s="164"/>
      <c r="C559" s="160"/>
      <c r="D559" s="160"/>
      <c r="E559" s="218"/>
      <c r="H559" s="171"/>
    </row>
    <row r="560">
      <c r="A560" s="217"/>
      <c r="B560" s="164"/>
      <c r="C560" s="160"/>
      <c r="D560" s="160"/>
      <c r="E560" s="218"/>
      <c r="H560" s="171"/>
    </row>
    <row r="561">
      <c r="A561" s="217"/>
      <c r="B561" s="164"/>
      <c r="C561" s="160"/>
      <c r="D561" s="160"/>
      <c r="E561" s="218"/>
      <c r="H561" s="171"/>
    </row>
    <row r="562">
      <c r="A562" s="217"/>
      <c r="B562" s="164"/>
      <c r="C562" s="160"/>
      <c r="D562" s="160"/>
      <c r="E562" s="218"/>
      <c r="H562" s="171"/>
    </row>
    <row r="563">
      <c r="A563" s="217"/>
      <c r="B563" s="164"/>
      <c r="C563" s="160"/>
      <c r="D563" s="160"/>
      <c r="E563" s="218"/>
      <c r="H563" s="171"/>
    </row>
    <row r="564">
      <c r="A564" s="217"/>
      <c r="B564" s="164"/>
      <c r="C564" s="160"/>
      <c r="D564" s="160"/>
      <c r="E564" s="218"/>
      <c r="H564" s="171"/>
    </row>
    <row r="565">
      <c r="A565" s="217"/>
      <c r="B565" s="164"/>
      <c r="C565" s="160"/>
      <c r="D565" s="160"/>
      <c r="E565" s="218"/>
      <c r="H565" s="171"/>
    </row>
    <row r="566">
      <c r="A566" s="217"/>
      <c r="B566" s="164"/>
      <c r="C566" s="160"/>
      <c r="D566" s="160"/>
      <c r="E566" s="218"/>
      <c r="H566" s="171"/>
    </row>
    <row r="567">
      <c r="A567" s="217"/>
      <c r="B567" s="164"/>
      <c r="C567" s="160"/>
      <c r="D567" s="160"/>
      <c r="E567" s="218"/>
      <c r="H567" s="171"/>
    </row>
    <row r="568">
      <c r="A568" s="217"/>
      <c r="B568" s="164"/>
      <c r="C568" s="160"/>
      <c r="D568" s="160"/>
      <c r="E568" s="218"/>
      <c r="H568" s="171"/>
    </row>
    <row r="569">
      <c r="A569" s="217"/>
      <c r="B569" s="164"/>
      <c r="C569" s="160"/>
      <c r="D569" s="160"/>
      <c r="E569" s="218"/>
      <c r="H569" s="171"/>
    </row>
    <row r="570">
      <c r="A570" s="217"/>
      <c r="B570" s="164"/>
      <c r="C570" s="160"/>
      <c r="D570" s="160"/>
      <c r="E570" s="218"/>
      <c r="H570" s="171"/>
    </row>
    <row r="571">
      <c r="A571" s="217"/>
      <c r="B571" s="164"/>
      <c r="C571" s="160"/>
      <c r="D571" s="160"/>
      <c r="E571" s="218"/>
      <c r="H571" s="171"/>
    </row>
    <row r="572">
      <c r="A572" s="217"/>
      <c r="B572" s="164"/>
      <c r="C572" s="160"/>
      <c r="D572" s="160"/>
      <c r="E572" s="218"/>
      <c r="H572" s="171"/>
    </row>
    <row r="573">
      <c r="A573" s="217"/>
      <c r="B573" s="164"/>
      <c r="C573" s="160"/>
      <c r="D573" s="160"/>
      <c r="E573" s="218"/>
      <c r="H573" s="171"/>
    </row>
    <row r="574">
      <c r="A574" s="217"/>
      <c r="B574" s="164"/>
      <c r="C574" s="160"/>
      <c r="D574" s="160"/>
      <c r="E574" s="218"/>
      <c r="H574" s="171"/>
    </row>
    <row r="575">
      <c r="A575" s="217"/>
      <c r="B575" s="164"/>
      <c r="C575" s="160"/>
      <c r="D575" s="160"/>
      <c r="E575" s="218"/>
      <c r="H575" s="171"/>
    </row>
    <row r="576">
      <c r="A576" s="217"/>
      <c r="B576" s="164"/>
      <c r="C576" s="160"/>
      <c r="D576" s="160"/>
      <c r="E576" s="218"/>
      <c r="H576" s="171"/>
    </row>
    <row r="577">
      <c r="A577" s="217"/>
      <c r="B577" s="164"/>
      <c r="C577" s="160"/>
      <c r="D577" s="160"/>
      <c r="E577" s="218"/>
      <c r="H577" s="171"/>
    </row>
    <row r="578">
      <c r="A578" s="217"/>
      <c r="B578" s="164"/>
      <c r="C578" s="160"/>
      <c r="D578" s="160"/>
      <c r="E578" s="218"/>
      <c r="H578" s="171"/>
    </row>
    <row r="579">
      <c r="A579" s="217"/>
      <c r="B579" s="164"/>
      <c r="C579" s="160"/>
      <c r="D579" s="160"/>
      <c r="E579" s="218"/>
      <c r="H579" s="171"/>
    </row>
    <row r="580">
      <c r="A580" s="217"/>
      <c r="B580" s="164"/>
      <c r="C580" s="160"/>
      <c r="D580" s="160"/>
      <c r="E580" s="218"/>
      <c r="H580" s="171"/>
    </row>
    <row r="581">
      <c r="A581" s="217"/>
      <c r="B581" s="164"/>
      <c r="C581" s="160"/>
      <c r="D581" s="160"/>
      <c r="E581" s="218"/>
      <c r="H581" s="171"/>
    </row>
    <row r="582">
      <c r="A582" s="217"/>
      <c r="B582" s="164"/>
      <c r="C582" s="160"/>
      <c r="D582" s="160"/>
      <c r="E582" s="218"/>
      <c r="H582" s="171"/>
    </row>
    <row r="583">
      <c r="A583" s="217"/>
      <c r="B583" s="164"/>
      <c r="C583" s="160"/>
      <c r="D583" s="160"/>
      <c r="E583" s="218"/>
      <c r="H583" s="171"/>
    </row>
    <row r="584">
      <c r="A584" s="217"/>
      <c r="B584" s="164"/>
      <c r="C584" s="160"/>
      <c r="D584" s="160"/>
      <c r="E584" s="218"/>
      <c r="H584" s="171"/>
    </row>
    <row r="585">
      <c r="A585" s="217"/>
      <c r="B585" s="164"/>
      <c r="C585" s="160"/>
      <c r="D585" s="160"/>
      <c r="E585" s="218"/>
      <c r="H585" s="171"/>
    </row>
    <row r="586">
      <c r="A586" s="217"/>
      <c r="B586" s="164"/>
      <c r="C586" s="160"/>
      <c r="D586" s="160"/>
      <c r="E586" s="218"/>
      <c r="H586" s="171"/>
    </row>
    <row r="587">
      <c r="A587" s="217"/>
      <c r="B587" s="164"/>
      <c r="C587" s="160"/>
      <c r="D587" s="160"/>
      <c r="E587" s="218"/>
      <c r="H587" s="171"/>
    </row>
    <row r="588">
      <c r="A588" s="217"/>
      <c r="B588" s="164"/>
      <c r="C588" s="160"/>
      <c r="D588" s="160"/>
      <c r="E588" s="218"/>
      <c r="H588" s="171"/>
    </row>
    <row r="589">
      <c r="A589" s="217"/>
      <c r="B589" s="164"/>
      <c r="C589" s="160"/>
      <c r="D589" s="160"/>
      <c r="E589" s="218"/>
      <c r="H589" s="171"/>
    </row>
    <row r="590">
      <c r="A590" s="217"/>
      <c r="B590" s="164"/>
      <c r="C590" s="160"/>
      <c r="D590" s="160"/>
      <c r="E590" s="218"/>
      <c r="H590" s="171"/>
    </row>
    <row r="591">
      <c r="A591" s="217"/>
      <c r="B591" s="164"/>
      <c r="C591" s="160"/>
      <c r="D591" s="160"/>
      <c r="E591" s="218"/>
      <c r="H591" s="171"/>
    </row>
    <row r="592">
      <c r="A592" s="217"/>
      <c r="B592" s="164"/>
      <c r="C592" s="160"/>
      <c r="D592" s="160"/>
      <c r="E592" s="218"/>
      <c r="H592" s="171"/>
    </row>
    <row r="593">
      <c r="A593" s="217"/>
      <c r="B593" s="164"/>
      <c r="C593" s="160"/>
      <c r="D593" s="160"/>
      <c r="E593" s="218"/>
      <c r="H593" s="171"/>
    </row>
    <row r="594">
      <c r="A594" s="217"/>
      <c r="B594" s="164"/>
      <c r="C594" s="160"/>
      <c r="D594" s="160"/>
      <c r="E594" s="218"/>
      <c r="H594" s="171"/>
    </row>
    <row r="595">
      <c r="A595" s="217"/>
      <c r="B595" s="164"/>
      <c r="C595" s="160"/>
      <c r="D595" s="160"/>
      <c r="E595" s="218"/>
      <c r="H595" s="171"/>
    </row>
    <row r="596">
      <c r="A596" s="217"/>
      <c r="B596" s="164"/>
      <c r="C596" s="160"/>
      <c r="D596" s="160"/>
      <c r="E596" s="218"/>
      <c r="H596" s="171"/>
    </row>
    <row r="597">
      <c r="A597" s="217"/>
      <c r="B597" s="164"/>
      <c r="C597" s="160"/>
      <c r="D597" s="160"/>
      <c r="E597" s="218"/>
      <c r="H597" s="171"/>
    </row>
    <row r="598">
      <c r="A598" s="217"/>
      <c r="B598" s="164"/>
      <c r="C598" s="160"/>
      <c r="D598" s="160"/>
      <c r="E598" s="218"/>
      <c r="H598" s="171"/>
    </row>
    <row r="599">
      <c r="A599" s="217"/>
      <c r="B599" s="164"/>
      <c r="C599" s="160"/>
      <c r="D599" s="160"/>
      <c r="E599" s="218"/>
      <c r="H599" s="171"/>
    </row>
    <row r="600">
      <c r="A600" s="217"/>
      <c r="B600" s="164"/>
      <c r="C600" s="160"/>
      <c r="D600" s="160"/>
      <c r="E600" s="218"/>
      <c r="H600" s="171"/>
    </row>
    <row r="601">
      <c r="A601" s="217"/>
      <c r="B601" s="164"/>
      <c r="C601" s="160"/>
      <c r="D601" s="160"/>
      <c r="E601" s="218"/>
      <c r="H601" s="171"/>
    </row>
    <row r="602">
      <c r="A602" s="217"/>
      <c r="B602" s="164"/>
      <c r="C602" s="160"/>
      <c r="D602" s="160"/>
      <c r="E602" s="218"/>
      <c r="H602" s="171"/>
    </row>
    <row r="603">
      <c r="A603" s="217"/>
      <c r="B603" s="164"/>
      <c r="C603" s="160"/>
      <c r="D603" s="160"/>
      <c r="E603" s="218"/>
      <c r="H603" s="171"/>
    </row>
    <row r="604">
      <c r="A604" s="217"/>
      <c r="B604" s="164"/>
      <c r="C604" s="160"/>
      <c r="D604" s="160"/>
      <c r="E604" s="218"/>
      <c r="H604" s="171"/>
    </row>
    <row r="605">
      <c r="A605" s="217"/>
      <c r="B605" s="164"/>
      <c r="C605" s="160"/>
      <c r="D605" s="160"/>
      <c r="E605" s="218"/>
      <c r="H605" s="171"/>
    </row>
    <row r="606">
      <c r="A606" s="217"/>
      <c r="B606" s="164"/>
      <c r="C606" s="160"/>
      <c r="D606" s="160"/>
      <c r="E606" s="218"/>
      <c r="H606" s="171"/>
    </row>
    <row r="607">
      <c r="A607" s="217"/>
      <c r="B607" s="164"/>
      <c r="C607" s="160"/>
      <c r="D607" s="160"/>
      <c r="E607" s="218"/>
      <c r="H607" s="171"/>
    </row>
    <row r="608">
      <c r="A608" s="217"/>
      <c r="B608" s="164"/>
      <c r="C608" s="160"/>
      <c r="D608" s="160"/>
      <c r="E608" s="218"/>
      <c r="H608" s="171"/>
    </row>
    <row r="609">
      <c r="A609" s="217"/>
      <c r="B609" s="164"/>
      <c r="C609" s="160"/>
      <c r="D609" s="160"/>
      <c r="E609" s="218"/>
      <c r="H609" s="171"/>
    </row>
    <row r="610">
      <c r="A610" s="217"/>
      <c r="B610" s="164"/>
      <c r="C610" s="160"/>
      <c r="D610" s="160"/>
      <c r="E610" s="218"/>
      <c r="H610" s="171"/>
    </row>
    <row r="611">
      <c r="A611" s="217"/>
      <c r="B611" s="164"/>
      <c r="C611" s="160"/>
      <c r="D611" s="160"/>
      <c r="E611" s="218"/>
      <c r="H611" s="171"/>
    </row>
    <row r="612">
      <c r="A612" s="217"/>
      <c r="B612" s="164"/>
      <c r="C612" s="160"/>
      <c r="D612" s="160"/>
      <c r="E612" s="218"/>
      <c r="H612" s="171"/>
    </row>
    <row r="613">
      <c r="A613" s="217"/>
      <c r="B613" s="164"/>
      <c r="C613" s="160"/>
      <c r="D613" s="160"/>
      <c r="E613" s="218"/>
      <c r="H613" s="171"/>
    </row>
    <row r="614">
      <c r="A614" s="217"/>
      <c r="B614" s="164"/>
      <c r="C614" s="160"/>
      <c r="D614" s="160"/>
      <c r="E614" s="218"/>
      <c r="H614" s="171"/>
    </row>
    <row r="615">
      <c r="A615" s="217"/>
      <c r="B615" s="164"/>
      <c r="C615" s="160"/>
      <c r="D615" s="160"/>
      <c r="E615" s="218"/>
      <c r="H615" s="171"/>
    </row>
    <row r="616">
      <c r="A616" s="217"/>
      <c r="B616" s="164"/>
      <c r="C616" s="160"/>
      <c r="D616" s="160"/>
      <c r="E616" s="218"/>
      <c r="H616" s="171"/>
    </row>
    <row r="617">
      <c r="A617" s="217"/>
      <c r="B617" s="164"/>
      <c r="C617" s="160"/>
      <c r="D617" s="160"/>
      <c r="E617" s="218"/>
      <c r="H617" s="171"/>
    </row>
    <row r="618">
      <c r="A618" s="217"/>
      <c r="B618" s="164"/>
      <c r="C618" s="160"/>
      <c r="D618" s="160"/>
      <c r="E618" s="218"/>
      <c r="H618" s="171"/>
    </row>
    <row r="619">
      <c r="A619" s="217"/>
      <c r="B619" s="164"/>
      <c r="C619" s="160"/>
      <c r="D619" s="160"/>
      <c r="E619" s="218"/>
      <c r="H619" s="171"/>
    </row>
    <row r="620">
      <c r="A620" s="217"/>
      <c r="B620" s="164"/>
      <c r="C620" s="160"/>
      <c r="D620" s="160"/>
      <c r="E620" s="218"/>
      <c r="H620" s="171"/>
    </row>
    <row r="621">
      <c r="A621" s="217"/>
      <c r="B621" s="164"/>
      <c r="C621" s="160"/>
      <c r="D621" s="160"/>
      <c r="E621" s="218"/>
      <c r="H621" s="171"/>
    </row>
    <row r="622">
      <c r="A622" s="217"/>
      <c r="B622" s="164"/>
      <c r="C622" s="160"/>
      <c r="D622" s="160"/>
      <c r="E622" s="218"/>
      <c r="H622" s="171"/>
    </row>
    <row r="623">
      <c r="A623" s="217"/>
      <c r="B623" s="164"/>
      <c r="C623" s="160"/>
      <c r="D623" s="160"/>
      <c r="E623" s="218"/>
      <c r="H623" s="171"/>
    </row>
    <row r="624">
      <c r="A624" s="217"/>
      <c r="B624" s="164"/>
      <c r="C624" s="160"/>
      <c r="D624" s="160"/>
      <c r="E624" s="218"/>
      <c r="H624" s="171"/>
    </row>
    <row r="625">
      <c r="A625" s="217"/>
      <c r="B625" s="164"/>
      <c r="C625" s="160"/>
      <c r="D625" s="160"/>
      <c r="E625" s="218"/>
      <c r="H625" s="171"/>
    </row>
    <row r="626">
      <c r="A626" s="217"/>
      <c r="B626" s="164"/>
      <c r="C626" s="160"/>
      <c r="D626" s="160"/>
      <c r="E626" s="218"/>
      <c r="H626" s="171"/>
    </row>
    <row r="627">
      <c r="A627" s="217"/>
      <c r="B627" s="164"/>
      <c r="C627" s="160"/>
      <c r="D627" s="160"/>
      <c r="E627" s="218"/>
      <c r="H627" s="171"/>
    </row>
    <row r="628">
      <c r="A628" s="217"/>
      <c r="B628" s="164"/>
      <c r="C628" s="160"/>
      <c r="D628" s="160"/>
      <c r="E628" s="218"/>
      <c r="H628" s="171"/>
    </row>
    <row r="629">
      <c r="A629" s="217"/>
      <c r="B629" s="164"/>
      <c r="C629" s="160"/>
      <c r="D629" s="160"/>
      <c r="E629" s="218"/>
      <c r="H629" s="171"/>
    </row>
    <row r="630">
      <c r="A630" s="217"/>
      <c r="B630" s="164"/>
      <c r="C630" s="160"/>
      <c r="D630" s="160"/>
      <c r="E630" s="218"/>
      <c r="H630" s="171"/>
    </row>
    <row r="631">
      <c r="A631" s="217"/>
      <c r="B631" s="164"/>
      <c r="C631" s="160"/>
      <c r="D631" s="160"/>
      <c r="E631" s="218"/>
      <c r="H631" s="171"/>
    </row>
    <row r="632">
      <c r="A632" s="217"/>
      <c r="B632" s="164"/>
      <c r="C632" s="160"/>
      <c r="D632" s="160"/>
      <c r="E632" s="218"/>
      <c r="H632" s="171"/>
    </row>
    <row r="633">
      <c r="A633" s="217"/>
      <c r="B633" s="164"/>
      <c r="C633" s="160"/>
      <c r="D633" s="160"/>
      <c r="E633" s="218"/>
      <c r="H633" s="171"/>
    </row>
    <row r="634">
      <c r="A634" s="217"/>
      <c r="B634" s="164"/>
      <c r="C634" s="160"/>
      <c r="D634" s="160"/>
      <c r="E634" s="218"/>
      <c r="H634" s="171"/>
    </row>
    <row r="635">
      <c r="A635" s="217"/>
      <c r="B635" s="164"/>
      <c r="C635" s="160"/>
      <c r="D635" s="160"/>
      <c r="E635" s="218"/>
      <c r="H635" s="171"/>
    </row>
    <row r="636">
      <c r="A636" s="217"/>
      <c r="B636" s="164"/>
      <c r="C636" s="160"/>
      <c r="D636" s="160"/>
      <c r="E636" s="218"/>
      <c r="H636" s="171"/>
    </row>
    <row r="637">
      <c r="A637" s="217"/>
      <c r="B637" s="164"/>
      <c r="C637" s="160"/>
      <c r="D637" s="160"/>
      <c r="E637" s="218"/>
      <c r="H637" s="171"/>
    </row>
    <row r="638">
      <c r="A638" s="217"/>
      <c r="B638" s="164"/>
      <c r="C638" s="160"/>
      <c r="D638" s="160"/>
      <c r="E638" s="218"/>
      <c r="H638" s="171"/>
    </row>
    <row r="639">
      <c r="A639" s="217"/>
      <c r="B639" s="164"/>
      <c r="C639" s="160"/>
      <c r="D639" s="160"/>
      <c r="E639" s="218"/>
      <c r="H639" s="171"/>
    </row>
    <row r="640">
      <c r="A640" s="217"/>
      <c r="B640" s="164"/>
      <c r="C640" s="160"/>
      <c r="D640" s="160"/>
      <c r="E640" s="218"/>
      <c r="H640" s="171"/>
    </row>
    <row r="641">
      <c r="A641" s="217"/>
      <c r="B641" s="164"/>
      <c r="C641" s="160"/>
      <c r="D641" s="160"/>
      <c r="E641" s="218"/>
      <c r="H641" s="171"/>
    </row>
    <row r="642">
      <c r="A642" s="217"/>
      <c r="B642" s="164"/>
      <c r="C642" s="160"/>
      <c r="D642" s="160"/>
      <c r="E642" s="218"/>
      <c r="H642" s="171"/>
    </row>
    <row r="643">
      <c r="A643" s="217"/>
      <c r="B643" s="164"/>
      <c r="C643" s="160"/>
      <c r="D643" s="160"/>
      <c r="E643" s="218"/>
      <c r="H643" s="171"/>
    </row>
    <row r="644">
      <c r="A644" s="217"/>
      <c r="B644" s="164"/>
      <c r="C644" s="160"/>
      <c r="D644" s="160"/>
      <c r="E644" s="218"/>
      <c r="H644" s="171"/>
    </row>
    <row r="645">
      <c r="A645" s="217"/>
      <c r="B645" s="164"/>
      <c r="C645" s="160"/>
      <c r="D645" s="160"/>
      <c r="E645" s="218"/>
      <c r="H645" s="171"/>
    </row>
    <row r="646">
      <c r="A646" s="217"/>
      <c r="B646" s="164"/>
      <c r="C646" s="160"/>
      <c r="D646" s="160"/>
      <c r="E646" s="218"/>
      <c r="H646" s="171"/>
    </row>
    <row r="647">
      <c r="A647" s="217"/>
      <c r="B647" s="164"/>
      <c r="C647" s="160"/>
      <c r="D647" s="160"/>
      <c r="E647" s="218"/>
      <c r="H647" s="171"/>
    </row>
    <row r="648">
      <c r="A648" s="217"/>
      <c r="B648" s="164"/>
      <c r="C648" s="160"/>
      <c r="D648" s="160"/>
      <c r="E648" s="218"/>
      <c r="H648" s="171"/>
    </row>
    <row r="649">
      <c r="A649" s="217"/>
      <c r="B649" s="164"/>
      <c r="C649" s="160"/>
      <c r="D649" s="160"/>
      <c r="E649" s="218"/>
      <c r="H649" s="171"/>
    </row>
    <row r="650">
      <c r="A650" s="217"/>
      <c r="B650" s="164"/>
      <c r="C650" s="160"/>
      <c r="D650" s="160"/>
      <c r="E650" s="218"/>
      <c r="H650" s="171"/>
    </row>
    <row r="651">
      <c r="A651" s="217"/>
      <c r="B651" s="164"/>
      <c r="C651" s="160"/>
      <c r="D651" s="160"/>
      <c r="E651" s="218"/>
      <c r="H651" s="171"/>
    </row>
    <row r="652">
      <c r="A652" s="217"/>
      <c r="B652" s="164"/>
      <c r="C652" s="160"/>
      <c r="D652" s="160"/>
      <c r="E652" s="218"/>
      <c r="H652" s="171"/>
    </row>
    <row r="653">
      <c r="A653" s="217"/>
      <c r="B653" s="164"/>
      <c r="C653" s="160"/>
      <c r="D653" s="160"/>
      <c r="E653" s="218"/>
      <c r="H653" s="171"/>
    </row>
    <row r="654">
      <c r="A654" s="217"/>
      <c r="B654" s="164"/>
      <c r="C654" s="160"/>
      <c r="D654" s="160"/>
      <c r="E654" s="218"/>
      <c r="H654" s="171"/>
    </row>
    <row r="655">
      <c r="A655" s="217"/>
      <c r="B655" s="164"/>
      <c r="C655" s="160"/>
      <c r="D655" s="160"/>
      <c r="E655" s="218"/>
      <c r="H655" s="171"/>
    </row>
    <row r="656">
      <c r="A656" s="217"/>
      <c r="B656" s="164"/>
      <c r="C656" s="160"/>
      <c r="D656" s="160"/>
      <c r="E656" s="218"/>
      <c r="H656" s="171"/>
    </row>
    <row r="657">
      <c r="A657" s="217"/>
      <c r="B657" s="164"/>
      <c r="C657" s="160"/>
      <c r="D657" s="160"/>
      <c r="E657" s="218"/>
      <c r="H657" s="171"/>
    </row>
    <row r="658">
      <c r="A658" s="217"/>
      <c r="B658" s="164"/>
      <c r="C658" s="160"/>
      <c r="D658" s="160"/>
      <c r="E658" s="218"/>
      <c r="H658" s="171"/>
    </row>
    <row r="659">
      <c r="A659" s="217"/>
      <c r="B659" s="164"/>
      <c r="C659" s="160"/>
      <c r="D659" s="160"/>
      <c r="E659" s="218"/>
      <c r="H659" s="171"/>
    </row>
    <row r="660">
      <c r="A660" s="217"/>
      <c r="B660" s="164"/>
      <c r="C660" s="160"/>
      <c r="D660" s="160"/>
      <c r="E660" s="218"/>
      <c r="H660" s="171"/>
    </row>
    <row r="661">
      <c r="A661" s="217"/>
      <c r="B661" s="164"/>
      <c r="C661" s="160"/>
      <c r="D661" s="160"/>
      <c r="E661" s="218"/>
      <c r="H661" s="171"/>
    </row>
    <row r="662">
      <c r="A662" s="217"/>
      <c r="B662" s="164"/>
      <c r="C662" s="160"/>
      <c r="D662" s="160"/>
      <c r="E662" s="218"/>
      <c r="H662" s="171"/>
    </row>
    <row r="663">
      <c r="A663" s="217"/>
      <c r="B663" s="164"/>
      <c r="C663" s="160"/>
      <c r="D663" s="160"/>
      <c r="E663" s="218"/>
      <c r="H663" s="171"/>
    </row>
    <row r="664">
      <c r="A664" s="217"/>
      <c r="B664" s="164"/>
      <c r="C664" s="160"/>
      <c r="D664" s="160"/>
      <c r="E664" s="218"/>
      <c r="H664" s="171"/>
    </row>
    <row r="665">
      <c r="A665" s="217"/>
      <c r="B665" s="164"/>
      <c r="C665" s="160"/>
      <c r="D665" s="160"/>
      <c r="E665" s="218"/>
      <c r="H665" s="171"/>
    </row>
    <row r="666">
      <c r="A666" s="217"/>
      <c r="B666" s="164"/>
      <c r="C666" s="160"/>
      <c r="D666" s="160"/>
      <c r="E666" s="218"/>
      <c r="H666" s="171"/>
    </row>
    <row r="667">
      <c r="A667" s="217"/>
      <c r="B667" s="164"/>
      <c r="C667" s="160"/>
      <c r="D667" s="160"/>
      <c r="E667" s="218"/>
      <c r="H667" s="171"/>
    </row>
    <row r="668">
      <c r="A668" s="217"/>
      <c r="B668" s="164"/>
      <c r="C668" s="160"/>
      <c r="D668" s="160"/>
      <c r="E668" s="218"/>
      <c r="H668" s="171"/>
    </row>
    <row r="669">
      <c r="A669" s="217"/>
      <c r="B669" s="164"/>
      <c r="C669" s="160"/>
      <c r="D669" s="160"/>
      <c r="E669" s="218"/>
      <c r="H669" s="171"/>
    </row>
    <row r="670">
      <c r="A670" s="217"/>
      <c r="B670" s="164"/>
      <c r="C670" s="160"/>
      <c r="D670" s="160"/>
      <c r="E670" s="218"/>
      <c r="H670" s="171"/>
    </row>
    <row r="671">
      <c r="A671" s="217"/>
      <c r="B671" s="164"/>
      <c r="C671" s="160"/>
      <c r="D671" s="160"/>
      <c r="E671" s="218"/>
      <c r="H671" s="171"/>
    </row>
    <row r="672">
      <c r="A672" s="217"/>
      <c r="B672" s="164"/>
      <c r="C672" s="160"/>
      <c r="D672" s="160"/>
      <c r="E672" s="218"/>
      <c r="H672" s="171"/>
    </row>
    <row r="673">
      <c r="A673" s="217"/>
      <c r="B673" s="164"/>
      <c r="C673" s="160"/>
      <c r="D673" s="160"/>
      <c r="E673" s="218"/>
      <c r="H673" s="171"/>
    </row>
    <row r="674">
      <c r="A674" s="217"/>
      <c r="B674" s="164"/>
      <c r="C674" s="160"/>
      <c r="D674" s="160"/>
      <c r="E674" s="218"/>
      <c r="H674" s="171"/>
    </row>
    <row r="675">
      <c r="A675" s="217"/>
      <c r="B675" s="164"/>
      <c r="C675" s="160"/>
      <c r="D675" s="160"/>
      <c r="E675" s="218"/>
      <c r="H675" s="171"/>
    </row>
    <row r="676">
      <c r="A676" s="217"/>
      <c r="B676" s="164"/>
      <c r="C676" s="160"/>
      <c r="D676" s="160"/>
      <c r="E676" s="218"/>
      <c r="H676" s="171"/>
    </row>
    <row r="677">
      <c r="A677" s="217"/>
      <c r="B677" s="164"/>
      <c r="C677" s="160"/>
      <c r="D677" s="160"/>
      <c r="E677" s="218"/>
      <c r="H677" s="171"/>
    </row>
    <row r="678">
      <c r="A678" s="217"/>
      <c r="B678" s="164"/>
      <c r="C678" s="160"/>
      <c r="D678" s="160"/>
      <c r="E678" s="218"/>
      <c r="H678" s="171"/>
    </row>
    <row r="679">
      <c r="A679" s="217"/>
      <c r="B679" s="164"/>
      <c r="C679" s="160"/>
      <c r="D679" s="160"/>
      <c r="E679" s="218"/>
      <c r="H679" s="171"/>
    </row>
    <row r="680">
      <c r="A680" s="217"/>
      <c r="B680" s="164"/>
      <c r="C680" s="160"/>
      <c r="D680" s="160"/>
      <c r="E680" s="218"/>
      <c r="H680" s="171"/>
    </row>
    <row r="681">
      <c r="A681" s="217"/>
      <c r="B681" s="164"/>
      <c r="C681" s="160"/>
      <c r="D681" s="160"/>
      <c r="E681" s="218"/>
      <c r="H681" s="171"/>
    </row>
    <row r="682">
      <c r="A682" s="217"/>
      <c r="B682" s="164"/>
      <c r="C682" s="160"/>
      <c r="D682" s="160"/>
      <c r="E682" s="218"/>
      <c r="H682" s="171"/>
    </row>
    <row r="683">
      <c r="A683" s="217"/>
      <c r="B683" s="164"/>
      <c r="C683" s="160"/>
      <c r="D683" s="160"/>
      <c r="E683" s="218"/>
      <c r="H683" s="171"/>
    </row>
    <row r="684">
      <c r="A684" s="217"/>
      <c r="B684" s="164"/>
      <c r="C684" s="160"/>
      <c r="D684" s="160"/>
      <c r="E684" s="218"/>
      <c r="H684" s="171"/>
    </row>
    <row r="685">
      <c r="A685" s="217"/>
      <c r="B685" s="164"/>
      <c r="C685" s="160"/>
      <c r="D685" s="160"/>
      <c r="E685" s="218"/>
      <c r="H685" s="171"/>
    </row>
    <row r="686">
      <c r="A686" s="217"/>
      <c r="B686" s="164"/>
      <c r="C686" s="160"/>
      <c r="D686" s="160"/>
      <c r="E686" s="218"/>
      <c r="H686" s="171"/>
    </row>
    <row r="687">
      <c r="A687" s="217"/>
      <c r="B687" s="164"/>
      <c r="C687" s="160"/>
      <c r="D687" s="160"/>
      <c r="E687" s="218"/>
      <c r="H687" s="171"/>
    </row>
    <row r="688">
      <c r="A688" s="217"/>
      <c r="B688" s="164"/>
      <c r="C688" s="160"/>
      <c r="D688" s="160"/>
      <c r="E688" s="218"/>
      <c r="H688" s="171"/>
    </row>
    <row r="689">
      <c r="A689" s="217"/>
      <c r="B689" s="164"/>
      <c r="C689" s="160"/>
      <c r="D689" s="160"/>
      <c r="E689" s="218"/>
      <c r="H689" s="171"/>
    </row>
    <row r="690">
      <c r="A690" s="217"/>
      <c r="B690" s="164"/>
      <c r="C690" s="160"/>
      <c r="D690" s="160"/>
      <c r="E690" s="218"/>
      <c r="H690" s="171"/>
    </row>
    <row r="691">
      <c r="A691" s="217"/>
      <c r="B691" s="164"/>
      <c r="C691" s="160"/>
      <c r="D691" s="160"/>
      <c r="E691" s="218"/>
      <c r="H691" s="171"/>
    </row>
    <row r="692">
      <c r="A692" s="217"/>
      <c r="B692" s="164"/>
      <c r="C692" s="160"/>
      <c r="D692" s="160"/>
      <c r="E692" s="218"/>
      <c r="H692" s="171"/>
    </row>
    <row r="693">
      <c r="A693" s="217"/>
      <c r="B693" s="164"/>
      <c r="C693" s="160"/>
      <c r="D693" s="160"/>
      <c r="E693" s="218"/>
      <c r="H693" s="171"/>
    </row>
    <row r="694">
      <c r="A694" s="217"/>
      <c r="B694" s="164"/>
      <c r="C694" s="160"/>
      <c r="D694" s="160"/>
      <c r="E694" s="218"/>
      <c r="H694" s="171"/>
    </row>
    <row r="695">
      <c r="A695" s="217"/>
      <c r="B695" s="164"/>
      <c r="C695" s="160"/>
      <c r="D695" s="160"/>
      <c r="E695" s="218"/>
      <c r="H695" s="171"/>
    </row>
    <row r="696">
      <c r="A696" s="217"/>
      <c r="B696" s="164"/>
      <c r="C696" s="160"/>
      <c r="D696" s="160"/>
      <c r="E696" s="218"/>
      <c r="H696" s="171"/>
    </row>
    <row r="697">
      <c r="A697" s="217"/>
      <c r="B697" s="164"/>
      <c r="C697" s="160"/>
      <c r="D697" s="160"/>
      <c r="E697" s="218"/>
      <c r="H697" s="171"/>
    </row>
    <row r="698">
      <c r="A698" s="217"/>
      <c r="B698" s="164"/>
      <c r="C698" s="160"/>
      <c r="D698" s="160"/>
      <c r="E698" s="218"/>
      <c r="H698" s="171"/>
    </row>
    <row r="699">
      <c r="A699" s="217"/>
      <c r="B699" s="164"/>
      <c r="C699" s="160"/>
      <c r="D699" s="160"/>
      <c r="E699" s="218"/>
      <c r="H699" s="171"/>
    </row>
    <row r="700">
      <c r="A700" s="217"/>
      <c r="B700" s="164"/>
      <c r="C700" s="160"/>
      <c r="D700" s="160"/>
      <c r="E700" s="218"/>
      <c r="H700" s="171"/>
    </row>
    <row r="701">
      <c r="A701" s="217"/>
      <c r="B701" s="164"/>
      <c r="C701" s="160"/>
      <c r="D701" s="160"/>
      <c r="E701" s="218"/>
      <c r="H701" s="171"/>
    </row>
    <row r="702">
      <c r="A702" s="217"/>
      <c r="B702" s="164"/>
      <c r="C702" s="160"/>
      <c r="D702" s="160"/>
      <c r="E702" s="218"/>
      <c r="H702" s="171"/>
    </row>
    <row r="703">
      <c r="A703" s="217"/>
      <c r="B703" s="164"/>
      <c r="C703" s="160"/>
      <c r="D703" s="160"/>
      <c r="E703" s="218"/>
      <c r="H703" s="171"/>
    </row>
    <row r="704">
      <c r="A704" s="217"/>
      <c r="B704" s="164"/>
      <c r="C704" s="160"/>
      <c r="D704" s="160"/>
      <c r="E704" s="218"/>
      <c r="H704" s="171"/>
    </row>
    <row r="705">
      <c r="A705" s="217"/>
      <c r="B705" s="164"/>
      <c r="C705" s="160"/>
      <c r="D705" s="160"/>
      <c r="E705" s="218"/>
      <c r="H705" s="171"/>
    </row>
    <row r="706">
      <c r="A706" s="217"/>
      <c r="B706" s="164"/>
      <c r="C706" s="160"/>
      <c r="D706" s="160"/>
      <c r="E706" s="218"/>
      <c r="H706" s="171"/>
    </row>
    <row r="707">
      <c r="A707" s="217"/>
      <c r="B707" s="164"/>
      <c r="C707" s="160"/>
      <c r="D707" s="160"/>
      <c r="E707" s="218"/>
      <c r="H707" s="171"/>
    </row>
    <row r="708">
      <c r="A708" s="217"/>
      <c r="B708" s="164"/>
      <c r="C708" s="160"/>
      <c r="D708" s="160"/>
      <c r="E708" s="218"/>
      <c r="H708" s="171"/>
    </row>
    <row r="709">
      <c r="A709" s="217"/>
      <c r="B709" s="164"/>
      <c r="C709" s="160"/>
      <c r="D709" s="160"/>
      <c r="E709" s="218"/>
      <c r="H709" s="171"/>
    </row>
    <row r="710">
      <c r="A710" s="217"/>
      <c r="B710" s="164"/>
      <c r="C710" s="160"/>
      <c r="D710" s="160"/>
      <c r="E710" s="218"/>
      <c r="H710" s="171"/>
    </row>
    <row r="711">
      <c r="A711" s="217"/>
      <c r="B711" s="164"/>
      <c r="C711" s="160"/>
      <c r="D711" s="160"/>
      <c r="E711" s="218"/>
      <c r="H711" s="171"/>
    </row>
    <row r="712">
      <c r="A712" s="217"/>
      <c r="B712" s="164"/>
      <c r="C712" s="160"/>
      <c r="D712" s="160"/>
      <c r="E712" s="218"/>
      <c r="H712" s="171"/>
    </row>
    <row r="713">
      <c r="A713" s="217"/>
      <c r="B713" s="164"/>
      <c r="C713" s="160"/>
      <c r="D713" s="160"/>
      <c r="E713" s="218"/>
      <c r="H713" s="171"/>
    </row>
    <row r="714">
      <c r="A714" s="217"/>
      <c r="B714" s="164"/>
      <c r="C714" s="160"/>
      <c r="D714" s="160"/>
      <c r="E714" s="218"/>
      <c r="H714" s="171"/>
    </row>
    <row r="715">
      <c r="A715" s="217"/>
      <c r="B715" s="164"/>
      <c r="C715" s="160"/>
      <c r="D715" s="160"/>
      <c r="E715" s="218"/>
      <c r="H715" s="171"/>
    </row>
    <row r="716">
      <c r="A716" s="217"/>
      <c r="B716" s="164"/>
      <c r="C716" s="160"/>
      <c r="D716" s="160"/>
      <c r="E716" s="218"/>
      <c r="H716" s="171"/>
    </row>
    <row r="717">
      <c r="A717" s="217"/>
      <c r="B717" s="164"/>
      <c r="C717" s="160"/>
      <c r="D717" s="160"/>
      <c r="E717" s="218"/>
      <c r="H717" s="171"/>
    </row>
    <row r="718">
      <c r="A718" s="217"/>
      <c r="B718" s="164"/>
      <c r="C718" s="160"/>
      <c r="D718" s="160"/>
      <c r="E718" s="218"/>
      <c r="H718" s="171"/>
    </row>
    <row r="719">
      <c r="A719" s="217"/>
      <c r="B719" s="164"/>
      <c r="C719" s="160"/>
      <c r="D719" s="160"/>
      <c r="E719" s="218"/>
      <c r="H719" s="171"/>
    </row>
    <row r="720">
      <c r="A720" s="217"/>
      <c r="B720" s="164"/>
      <c r="C720" s="160"/>
      <c r="D720" s="160"/>
      <c r="E720" s="218"/>
      <c r="H720" s="171"/>
    </row>
    <row r="721">
      <c r="A721" s="217"/>
      <c r="B721" s="164"/>
      <c r="C721" s="160"/>
      <c r="D721" s="160"/>
      <c r="E721" s="218"/>
      <c r="H721" s="171"/>
    </row>
    <row r="722">
      <c r="A722" s="217"/>
      <c r="B722" s="164"/>
      <c r="C722" s="160"/>
      <c r="D722" s="160"/>
      <c r="E722" s="218"/>
      <c r="H722" s="171"/>
    </row>
    <row r="723">
      <c r="A723" s="217"/>
      <c r="B723" s="164"/>
      <c r="C723" s="160"/>
      <c r="D723" s="160"/>
      <c r="E723" s="218"/>
      <c r="H723" s="171"/>
    </row>
    <row r="724">
      <c r="A724" s="217"/>
      <c r="B724" s="164"/>
      <c r="C724" s="160"/>
      <c r="D724" s="160"/>
      <c r="E724" s="218"/>
      <c r="H724" s="171"/>
    </row>
    <row r="725">
      <c r="A725" s="217"/>
      <c r="B725" s="164"/>
      <c r="C725" s="160"/>
      <c r="D725" s="160"/>
      <c r="E725" s="218"/>
      <c r="H725" s="171"/>
    </row>
    <row r="726">
      <c r="A726" s="217"/>
      <c r="B726" s="164"/>
      <c r="C726" s="160"/>
      <c r="D726" s="160"/>
      <c r="E726" s="218"/>
      <c r="H726" s="171"/>
    </row>
    <row r="727">
      <c r="A727" s="217"/>
      <c r="B727" s="164"/>
      <c r="C727" s="160"/>
      <c r="D727" s="160"/>
      <c r="E727" s="218"/>
      <c r="H727" s="171"/>
    </row>
    <row r="728">
      <c r="A728" s="217"/>
      <c r="B728" s="164"/>
      <c r="C728" s="160"/>
      <c r="D728" s="160"/>
      <c r="E728" s="218"/>
      <c r="H728" s="171"/>
    </row>
    <row r="729">
      <c r="A729" s="217"/>
      <c r="B729" s="164"/>
      <c r="C729" s="160"/>
      <c r="D729" s="160"/>
      <c r="E729" s="218"/>
      <c r="H729" s="171"/>
    </row>
    <row r="730">
      <c r="A730" s="217"/>
      <c r="B730" s="164"/>
      <c r="C730" s="160"/>
      <c r="D730" s="160"/>
      <c r="E730" s="218"/>
      <c r="H730" s="171"/>
    </row>
    <row r="731">
      <c r="A731" s="217"/>
      <c r="B731" s="164"/>
      <c r="C731" s="160"/>
      <c r="D731" s="160"/>
      <c r="E731" s="218"/>
      <c r="H731" s="171"/>
    </row>
    <row r="732">
      <c r="A732" s="217"/>
      <c r="B732" s="164"/>
      <c r="C732" s="160"/>
      <c r="D732" s="160"/>
      <c r="E732" s="218"/>
      <c r="H732" s="171"/>
    </row>
    <row r="733">
      <c r="A733" s="217"/>
      <c r="B733" s="164"/>
      <c r="C733" s="160"/>
      <c r="D733" s="160"/>
      <c r="E733" s="218"/>
      <c r="H733" s="171"/>
    </row>
    <row r="734">
      <c r="A734" s="217"/>
      <c r="B734" s="164"/>
      <c r="C734" s="160"/>
      <c r="D734" s="160"/>
      <c r="E734" s="218"/>
      <c r="H734" s="171"/>
    </row>
    <row r="735">
      <c r="A735" s="217"/>
      <c r="B735" s="164"/>
      <c r="C735" s="160"/>
      <c r="D735" s="160"/>
      <c r="E735" s="218"/>
      <c r="H735" s="171"/>
    </row>
    <row r="736">
      <c r="A736" s="217"/>
      <c r="B736" s="164"/>
      <c r="C736" s="160"/>
      <c r="D736" s="160"/>
      <c r="E736" s="218"/>
      <c r="H736" s="171"/>
    </row>
    <row r="737">
      <c r="A737" s="217"/>
      <c r="B737" s="164"/>
      <c r="C737" s="160"/>
      <c r="D737" s="160"/>
      <c r="E737" s="218"/>
      <c r="H737" s="171"/>
    </row>
    <row r="738">
      <c r="A738" s="217"/>
      <c r="B738" s="164"/>
      <c r="C738" s="160"/>
      <c r="D738" s="160"/>
      <c r="E738" s="218"/>
      <c r="H738" s="171"/>
    </row>
    <row r="739">
      <c r="A739" s="217"/>
      <c r="B739" s="164"/>
      <c r="C739" s="160"/>
      <c r="D739" s="160"/>
      <c r="E739" s="218"/>
      <c r="H739" s="171"/>
    </row>
    <row r="740">
      <c r="A740" s="217"/>
      <c r="B740" s="164"/>
      <c r="C740" s="160"/>
      <c r="D740" s="160"/>
      <c r="E740" s="218"/>
      <c r="H740" s="171"/>
    </row>
    <row r="741">
      <c r="A741" s="217"/>
      <c r="B741" s="164"/>
      <c r="C741" s="160"/>
      <c r="D741" s="160"/>
      <c r="E741" s="218"/>
      <c r="H741" s="171"/>
    </row>
    <row r="742">
      <c r="A742" s="217"/>
      <c r="B742" s="164"/>
      <c r="C742" s="160"/>
      <c r="D742" s="160"/>
      <c r="E742" s="218"/>
      <c r="H742" s="171"/>
    </row>
    <row r="743">
      <c r="A743" s="217"/>
      <c r="B743" s="164"/>
      <c r="C743" s="160"/>
      <c r="D743" s="160"/>
      <c r="E743" s="218"/>
      <c r="H743" s="171"/>
    </row>
    <row r="744">
      <c r="A744" s="217"/>
      <c r="B744" s="164"/>
      <c r="C744" s="160"/>
      <c r="D744" s="160"/>
      <c r="E744" s="218"/>
      <c r="H744" s="171"/>
    </row>
    <row r="745">
      <c r="A745" s="217"/>
      <c r="B745" s="164"/>
      <c r="C745" s="160"/>
      <c r="D745" s="160"/>
      <c r="E745" s="218"/>
      <c r="H745" s="171"/>
    </row>
    <row r="746">
      <c r="A746" s="217"/>
      <c r="B746" s="164"/>
      <c r="C746" s="160"/>
      <c r="D746" s="160"/>
      <c r="E746" s="218"/>
      <c r="H746" s="171"/>
    </row>
    <row r="747">
      <c r="A747" s="217"/>
      <c r="B747" s="164"/>
      <c r="C747" s="160"/>
      <c r="D747" s="160"/>
      <c r="E747" s="218"/>
      <c r="H747" s="171"/>
    </row>
    <row r="748">
      <c r="A748" s="217"/>
      <c r="B748" s="164"/>
      <c r="C748" s="160"/>
      <c r="D748" s="160"/>
      <c r="E748" s="218"/>
      <c r="H748" s="171"/>
    </row>
    <row r="749">
      <c r="A749" s="217"/>
      <c r="B749" s="164"/>
      <c r="C749" s="160"/>
      <c r="D749" s="160"/>
      <c r="E749" s="218"/>
      <c r="H749" s="171"/>
    </row>
    <row r="750">
      <c r="A750" s="217"/>
      <c r="B750" s="164"/>
      <c r="C750" s="160"/>
      <c r="D750" s="160"/>
      <c r="E750" s="218"/>
      <c r="H750" s="171"/>
    </row>
    <row r="751">
      <c r="A751" s="217"/>
      <c r="B751" s="164"/>
      <c r="C751" s="160"/>
      <c r="D751" s="160"/>
      <c r="E751" s="218"/>
      <c r="H751" s="171"/>
    </row>
    <row r="752">
      <c r="A752" s="217"/>
      <c r="B752" s="164"/>
      <c r="C752" s="160"/>
      <c r="D752" s="160"/>
      <c r="E752" s="218"/>
      <c r="H752" s="171"/>
    </row>
    <row r="753">
      <c r="A753" s="217"/>
      <c r="B753" s="164"/>
      <c r="C753" s="160"/>
      <c r="D753" s="160"/>
      <c r="E753" s="218"/>
      <c r="H753" s="171"/>
    </row>
    <row r="754">
      <c r="A754" s="217"/>
      <c r="B754" s="164"/>
      <c r="C754" s="160"/>
      <c r="D754" s="160"/>
      <c r="E754" s="218"/>
      <c r="H754" s="171"/>
    </row>
    <row r="755">
      <c r="A755" s="217"/>
      <c r="B755" s="164"/>
      <c r="C755" s="160"/>
      <c r="D755" s="160"/>
      <c r="E755" s="218"/>
      <c r="H755" s="171"/>
    </row>
    <row r="756">
      <c r="A756" s="217"/>
      <c r="B756" s="164"/>
      <c r="C756" s="160"/>
      <c r="D756" s="160"/>
      <c r="E756" s="218"/>
      <c r="H756" s="171"/>
    </row>
    <row r="757">
      <c r="A757" s="217"/>
      <c r="B757" s="164"/>
      <c r="C757" s="160"/>
      <c r="D757" s="160"/>
      <c r="E757" s="218"/>
      <c r="H757" s="171"/>
    </row>
    <row r="758">
      <c r="A758" s="217"/>
      <c r="B758" s="164"/>
      <c r="C758" s="160"/>
      <c r="D758" s="160"/>
      <c r="E758" s="218"/>
      <c r="H758" s="171"/>
    </row>
    <row r="759">
      <c r="A759" s="217"/>
      <c r="B759" s="164"/>
      <c r="C759" s="160"/>
      <c r="D759" s="160"/>
      <c r="E759" s="218"/>
      <c r="H759" s="171"/>
    </row>
    <row r="760">
      <c r="A760" s="217"/>
      <c r="B760" s="164"/>
      <c r="C760" s="160"/>
      <c r="D760" s="160"/>
      <c r="E760" s="218"/>
      <c r="H760" s="171"/>
    </row>
    <row r="761">
      <c r="A761" s="217"/>
      <c r="B761" s="164"/>
      <c r="C761" s="160"/>
      <c r="D761" s="160"/>
      <c r="E761" s="218"/>
      <c r="H761" s="171"/>
    </row>
    <row r="762">
      <c r="A762" s="217"/>
      <c r="B762" s="164"/>
      <c r="C762" s="160"/>
      <c r="D762" s="160"/>
      <c r="E762" s="218"/>
      <c r="H762" s="171"/>
    </row>
    <row r="763">
      <c r="A763" s="217"/>
      <c r="B763" s="164"/>
      <c r="C763" s="160"/>
      <c r="D763" s="160"/>
      <c r="E763" s="218"/>
      <c r="H763" s="171"/>
    </row>
    <row r="764">
      <c r="A764" s="217"/>
      <c r="B764" s="164"/>
      <c r="C764" s="160"/>
      <c r="D764" s="160"/>
      <c r="E764" s="218"/>
      <c r="H764" s="171"/>
    </row>
    <row r="765">
      <c r="A765" s="217"/>
      <c r="B765" s="164"/>
      <c r="C765" s="160"/>
      <c r="D765" s="160"/>
      <c r="E765" s="218"/>
      <c r="H765" s="171"/>
    </row>
    <row r="766">
      <c r="A766" s="217"/>
      <c r="B766" s="164"/>
      <c r="C766" s="160"/>
      <c r="D766" s="160"/>
      <c r="E766" s="218"/>
      <c r="H766" s="171"/>
    </row>
    <row r="767">
      <c r="A767" s="217"/>
      <c r="B767" s="164"/>
      <c r="C767" s="160"/>
      <c r="D767" s="160"/>
      <c r="E767" s="218"/>
      <c r="H767" s="171"/>
    </row>
    <row r="768">
      <c r="A768" s="217"/>
      <c r="B768" s="164"/>
      <c r="C768" s="160"/>
      <c r="D768" s="160"/>
      <c r="E768" s="218"/>
      <c r="H768" s="171"/>
    </row>
    <row r="769">
      <c r="A769" s="217"/>
      <c r="B769" s="164"/>
      <c r="C769" s="160"/>
      <c r="D769" s="160"/>
      <c r="E769" s="218"/>
      <c r="H769" s="171"/>
    </row>
    <row r="770">
      <c r="A770" s="217"/>
      <c r="B770" s="164"/>
      <c r="C770" s="160"/>
      <c r="D770" s="160"/>
      <c r="E770" s="218"/>
      <c r="H770" s="171"/>
    </row>
    <row r="771">
      <c r="A771" s="217"/>
      <c r="B771" s="164"/>
      <c r="C771" s="160"/>
      <c r="D771" s="160"/>
      <c r="E771" s="218"/>
      <c r="H771" s="171"/>
    </row>
    <row r="772">
      <c r="A772" s="217"/>
      <c r="B772" s="164"/>
      <c r="C772" s="160"/>
      <c r="D772" s="160"/>
      <c r="E772" s="218"/>
      <c r="H772" s="171"/>
    </row>
    <row r="773">
      <c r="A773" s="217"/>
      <c r="B773" s="164"/>
      <c r="C773" s="160"/>
      <c r="D773" s="160"/>
      <c r="E773" s="218"/>
      <c r="H773" s="171"/>
    </row>
    <row r="774">
      <c r="A774" s="217"/>
      <c r="B774" s="164"/>
      <c r="C774" s="160"/>
      <c r="D774" s="160"/>
      <c r="E774" s="218"/>
      <c r="H774" s="171"/>
    </row>
    <row r="775">
      <c r="A775" s="217"/>
      <c r="B775" s="164"/>
      <c r="C775" s="160"/>
      <c r="D775" s="160"/>
      <c r="E775" s="218"/>
      <c r="H775" s="171"/>
    </row>
    <row r="776">
      <c r="A776" s="217"/>
      <c r="B776" s="164"/>
      <c r="C776" s="160"/>
      <c r="D776" s="160"/>
      <c r="E776" s="218"/>
      <c r="H776" s="171"/>
    </row>
    <row r="777">
      <c r="A777" s="217"/>
      <c r="B777" s="164"/>
      <c r="C777" s="160"/>
      <c r="D777" s="160"/>
      <c r="E777" s="218"/>
      <c r="H777" s="171"/>
    </row>
    <row r="778">
      <c r="A778" s="217"/>
      <c r="B778" s="164"/>
      <c r="C778" s="160"/>
      <c r="D778" s="160"/>
      <c r="E778" s="218"/>
      <c r="H778" s="171"/>
    </row>
    <row r="779">
      <c r="A779" s="217"/>
      <c r="B779" s="164"/>
      <c r="C779" s="160"/>
      <c r="D779" s="160"/>
      <c r="E779" s="218"/>
      <c r="H779" s="171"/>
    </row>
    <row r="780">
      <c r="A780" s="217"/>
      <c r="B780" s="164"/>
      <c r="C780" s="160"/>
      <c r="D780" s="160"/>
      <c r="E780" s="218"/>
      <c r="H780" s="171"/>
    </row>
    <row r="781">
      <c r="A781" s="217"/>
      <c r="B781" s="164"/>
      <c r="C781" s="160"/>
      <c r="D781" s="160"/>
      <c r="E781" s="218"/>
      <c r="H781" s="171"/>
    </row>
    <row r="782">
      <c r="A782" s="217"/>
      <c r="B782" s="164"/>
      <c r="C782" s="160"/>
      <c r="D782" s="160"/>
      <c r="E782" s="218"/>
      <c r="H782" s="171"/>
    </row>
    <row r="783">
      <c r="A783" s="217"/>
      <c r="B783" s="164"/>
      <c r="C783" s="160"/>
      <c r="D783" s="160"/>
      <c r="E783" s="218"/>
      <c r="H783" s="171"/>
    </row>
    <row r="784">
      <c r="A784" s="217"/>
      <c r="B784" s="164"/>
      <c r="C784" s="160"/>
      <c r="D784" s="160"/>
      <c r="E784" s="218"/>
      <c r="H784" s="171"/>
    </row>
    <row r="785">
      <c r="A785" s="217"/>
      <c r="B785" s="164"/>
      <c r="C785" s="160"/>
      <c r="D785" s="160"/>
      <c r="E785" s="218"/>
      <c r="H785" s="171"/>
    </row>
    <row r="786">
      <c r="A786" s="217"/>
      <c r="B786" s="164"/>
      <c r="C786" s="160"/>
      <c r="D786" s="160"/>
      <c r="E786" s="218"/>
      <c r="H786" s="171"/>
    </row>
    <row r="787">
      <c r="A787" s="217"/>
      <c r="B787" s="164"/>
      <c r="C787" s="160"/>
      <c r="D787" s="160"/>
      <c r="E787" s="218"/>
      <c r="H787" s="171"/>
    </row>
    <row r="788">
      <c r="A788" s="217"/>
      <c r="B788" s="164"/>
      <c r="C788" s="160"/>
      <c r="D788" s="160"/>
      <c r="E788" s="218"/>
      <c r="H788" s="171"/>
    </row>
    <row r="789">
      <c r="A789" s="217"/>
      <c r="B789" s="164"/>
      <c r="C789" s="160"/>
      <c r="D789" s="160"/>
      <c r="E789" s="218"/>
      <c r="H789" s="171"/>
    </row>
    <row r="790">
      <c r="A790" s="217"/>
      <c r="B790" s="164"/>
      <c r="C790" s="160"/>
      <c r="D790" s="160"/>
      <c r="E790" s="218"/>
      <c r="H790" s="171"/>
    </row>
    <row r="791">
      <c r="A791" s="217"/>
      <c r="B791" s="164"/>
      <c r="C791" s="160"/>
      <c r="D791" s="160"/>
      <c r="E791" s="218"/>
      <c r="H791" s="171"/>
    </row>
    <row r="792">
      <c r="A792" s="217"/>
      <c r="B792" s="164"/>
      <c r="C792" s="160"/>
      <c r="D792" s="160"/>
      <c r="E792" s="218"/>
      <c r="H792" s="171"/>
    </row>
    <row r="793">
      <c r="A793" s="217"/>
      <c r="B793" s="164"/>
      <c r="C793" s="160"/>
      <c r="D793" s="160"/>
      <c r="E793" s="218"/>
      <c r="H793" s="171"/>
    </row>
    <row r="794">
      <c r="A794" s="217"/>
      <c r="B794" s="164"/>
      <c r="C794" s="160"/>
      <c r="D794" s="160"/>
      <c r="E794" s="218"/>
      <c r="H794" s="171"/>
    </row>
    <row r="795">
      <c r="A795" s="217"/>
      <c r="B795" s="164"/>
      <c r="C795" s="160"/>
      <c r="D795" s="160"/>
      <c r="E795" s="218"/>
      <c r="H795" s="171"/>
    </row>
    <row r="796">
      <c r="A796" s="217"/>
      <c r="B796" s="164"/>
      <c r="C796" s="160"/>
      <c r="D796" s="160"/>
      <c r="E796" s="218"/>
      <c r="H796" s="171"/>
    </row>
    <row r="797">
      <c r="A797" s="217"/>
      <c r="B797" s="164"/>
      <c r="C797" s="160"/>
      <c r="D797" s="160"/>
      <c r="E797" s="218"/>
      <c r="H797" s="171"/>
    </row>
    <row r="798">
      <c r="A798" s="217"/>
      <c r="B798" s="164"/>
      <c r="C798" s="160"/>
      <c r="D798" s="160"/>
      <c r="E798" s="218"/>
      <c r="H798" s="171"/>
    </row>
    <row r="799">
      <c r="A799" s="217"/>
      <c r="B799" s="164"/>
      <c r="C799" s="160"/>
      <c r="D799" s="160"/>
      <c r="E799" s="218"/>
      <c r="H799" s="171"/>
    </row>
    <row r="800">
      <c r="A800" s="217"/>
      <c r="B800" s="164"/>
      <c r="C800" s="160"/>
      <c r="D800" s="160"/>
      <c r="E800" s="218"/>
      <c r="H800" s="171"/>
    </row>
    <row r="801">
      <c r="A801" s="217"/>
      <c r="B801" s="164"/>
      <c r="C801" s="160"/>
      <c r="D801" s="160"/>
      <c r="E801" s="218"/>
      <c r="H801" s="171"/>
    </row>
    <row r="802">
      <c r="A802" s="217"/>
      <c r="B802" s="164"/>
      <c r="C802" s="160"/>
      <c r="D802" s="160"/>
      <c r="E802" s="218"/>
      <c r="H802" s="171"/>
    </row>
    <row r="803">
      <c r="A803" s="217"/>
      <c r="B803" s="164"/>
      <c r="C803" s="160"/>
      <c r="D803" s="160"/>
      <c r="E803" s="218"/>
      <c r="H803" s="171"/>
    </row>
    <row r="804">
      <c r="A804" s="217"/>
      <c r="B804" s="164"/>
      <c r="C804" s="160"/>
      <c r="D804" s="160"/>
      <c r="E804" s="218"/>
      <c r="H804" s="171"/>
    </row>
    <row r="805">
      <c r="A805" s="217"/>
      <c r="B805" s="164"/>
      <c r="C805" s="160"/>
      <c r="D805" s="160"/>
      <c r="E805" s="218"/>
      <c r="H805" s="171"/>
    </row>
    <row r="806">
      <c r="A806" s="217"/>
      <c r="B806" s="164"/>
      <c r="C806" s="160"/>
      <c r="D806" s="160"/>
      <c r="E806" s="218"/>
      <c r="H806" s="171"/>
    </row>
    <row r="807">
      <c r="A807" s="217"/>
      <c r="B807" s="164"/>
      <c r="C807" s="160"/>
      <c r="D807" s="160"/>
      <c r="E807" s="218"/>
      <c r="H807" s="171"/>
    </row>
    <row r="808">
      <c r="A808" s="217"/>
      <c r="B808" s="164"/>
      <c r="C808" s="160"/>
      <c r="D808" s="160"/>
      <c r="E808" s="218"/>
      <c r="H808" s="171"/>
    </row>
    <row r="809">
      <c r="A809" s="217"/>
      <c r="B809" s="164"/>
      <c r="C809" s="160"/>
      <c r="D809" s="160"/>
      <c r="E809" s="218"/>
      <c r="H809" s="171"/>
    </row>
    <row r="810">
      <c r="A810" s="217"/>
      <c r="B810" s="164"/>
      <c r="C810" s="160"/>
      <c r="D810" s="160"/>
      <c r="E810" s="218"/>
      <c r="H810" s="171"/>
    </row>
    <row r="811">
      <c r="A811" s="217"/>
      <c r="B811" s="164"/>
      <c r="C811" s="160"/>
      <c r="D811" s="160"/>
      <c r="E811" s="218"/>
      <c r="H811" s="171"/>
    </row>
    <row r="812">
      <c r="A812" s="217"/>
      <c r="B812" s="164"/>
      <c r="C812" s="160"/>
      <c r="D812" s="160"/>
      <c r="E812" s="218"/>
      <c r="H812" s="171"/>
    </row>
    <row r="813">
      <c r="A813" s="217"/>
      <c r="B813" s="164"/>
      <c r="C813" s="160"/>
      <c r="D813" s="160"/>
      <c r="E813" s="218"/>
      <c r="H813" s="171"/>
    </row>
    <row r="814">
      <c r="A814" s="217"/>
      <c r="B814" s="164"/>
      <c r="C814" s="160"/>
      <c r="D814" s="160"/>
      <c r="E814" s="218"/>
      <c r="H814" s="171"/>
    </row>
    <row r="815">
      <c r="A815" s="217"/>
      <c r="B815" s="164"/>
      <c r="C815" s="160"/>
      <c r="D815" s="160"/>
      <c r="E815" s="218"/>
      <c r="H815" s="171"/>
    </row>
    <row r="816">
      <c r="A816" s="217"/>
      <c r="B816" s="164"/>
      <c r="C816" s="160"/>
      <c r="D816" s="160"/>
      <c r="E816" s="218"/>
      <c r="H816" s="171"/>
    </row>
    <row r="817">
      <c r="A817" s="217"/>
      <c r="B817" s="164"/>
      <c r="C817" s="160"/>
      <c r="D817" s="160"/>
      <c r="E817" s="218"/>
      <c r="H817" s="171"/>
    </row>
    <row r="818">
      <c r="A818" s="217"/>
      <c r="B818" s="164"/>
      <c r="C818" s="160"/>
      <c r="D818" s="160"/>
      <c r="E818" s="218"/>
      <c r="H818" s="171"/>
    </row>
    <row r="819">
      <c r="A819" s="217"/>
      <c r="B819" s="164"/>
      <c r="C819" s="160"/>
      <c r="D819" s="160"/>
      <c r="E819" s="218"/>
      <c r="H819" s="171"/>
    </row>
    <row r="820">
      <c r="A820" s="217"/>
      <c r="B820" s="164"/>
      <c r="C820" s="160"/>
      <c r="D820" s="160"/>
      <c r="E820" s="218"/>
      <c r="H820" s="171"/>
    </row>
    <row r="821">
      <c r="A821" s="217"/>
      <c r="B821" s="164"/>
      <c r="C821" s="160"/>
      <c r="D821" s="160"/>
      <c r="E821" s="218"/>
      <c r="H821" s="171"/>
    </row>
    <row r="822">
      <c r="A822" s="217"/>
      <c r="B822" s="164"/>
      <c r="C822" s="160"/>
      <c r="D822" s="160"/>
      <c r="E822" s="218"/>
      <c r="H822" s="171"/>
    </row>
    <row r="823">
      <c r="A823" s="217"/>
      <c r="B823" s="164"/>
      <c r="C823" s="160"/>
      <c r="D823" s="160"/>
      <c r="E823" s="218"/>
      <c r="H823" s="171"/>
    </row>
    <row r="824">
      <c r="A824" s="217"/>
      <c r="B824" s="164"/>
      <c r="C824" s="160"/>
      <c r="D824" s="160"/>
      <c r="E824" s="218"/>
      <c r="H824" s="171"/>
    </row>
    <row r="825">
      <c r="A825" s="217"/>
      <c r="B825" s="164"/>
      <c r="C825" s="160"/>
      <c r="D825" s="160"/>
      <c r="E825" s="218"/>
      <c r="H825" s="171"/>
    </row>
    <row r="826">
      <c r="A826" s="217"/>
      <c r="B826" s="164"/>
      <c r="C826" s="160"/>
      <c r="D826" s="160"/>
      <c r="E826" s="218"/>
      <c r="H826" s="171"/>
    </row>
    <row r="827">
      <c r="A827" s="217"/>
      <c r="B827" s="164"/>
      <c r="C827" s="160"/>
      <c r="D827" s="160"/>
      <c r="E827" s="218"/>
      <c r="H827" s="171"/>
    </row>
    <row r="828">
      <c r="A828" s="217"/>
      <c r="B828" s="164"/>
      <c r="C828" s="160"/>
      <c r="D828" s="160"/>
      <c r="E828" s="218"/>
      <c r="H828" s="171"/>
    </row>
    <row r="829">
      <c r="A829" s="217"/>
      <c r="B829" s="164"/>
      <c r="C829" s="160"/>
      <c r="D829" s="160"/>
      <c r="E829" s="218"/>
      <c r="H829" s="171"/>
    </row>
    <row r="830">
      <c r="A830" s="217"/>
      <c r="B830" s="164"/>
      <c r="C830" s="160"/>
      <c r="D830" s="160"/>
      <c r="E830" s="218"/>
      <c r="H830" s="171"/>
    </row>
    <row r="831">
      <c r="A831" s="217"/>
      <c r="B831" s="164"/>
      <c r="C831" s="160"/>
      <c r="D831" s="160"/>
      <c r="E831" s="218"/>
      <c r="H831" s="171"/>
    </row>
    <row r="832">
      <c r="A832" s="217"/>
      <c r="B832" s="164"/>
      <c r="C832" s="160"/>
      <c r="D832" s="160"/>
      <c r="E832" s="218"/>
      <c r="H832" s="171"/>
    </row>
    <row r="833">
      <c r="A833" s="217"/>
      <c r="B833" s="164"/>
      <c r="C833" s="160"/>
      <c r="D833" s="160"/>
      <c r="E833" s="218"/>
      <c r="H833" s="171"/>
    </row>
    <row r="834">
      <c r="A834" s="217"/>
      <c r="B834" s="164"/>
      <c r="C834" s="160"/>
      <c r="D834" s="160"/>
      <c r="E834" s="218"/>
      <c r="H834" s="171"/>
    </row>
    <row r="835">
      <c r="A835" s="217"/>
      <c r="B835" s="164"/>
      <c r="C835" s="160"/>
      <c r="D835" s="160"/>
      <c r="E835" s="218"/>
      <c r="H835" s="171"/>
    </row>
    <row r="836">
      <c r="A836" s="217"/>
      <c r="B836" s="164"/>
      <c r="C836" s="160"/>
      <c r="D836" s="160"/>
      <c r="E836" s="218"/>
      <c r="H836" s="171"/>
    </row>
    <row r="837">
      <c r="A837" s="217"/>
      <c r="B837" s="164"/>
      <c r="C837" s="160"/>
      <c r="D837" s="160"/>
      <c r="E837" s="218"/>
      <c r="H837" s="171"/>
    </row>
    <row r="838">
      <c r="A838" s="217"/>
      <c r="B838" s="164"/>
      <c r="C838" s="160"/>
      <c r="D838" s="160"/>
      <c r="E838" s="218"/>
      <c r="H838" s="171"/>
    </row>
    <row r="839">
      <c r="A839" s="217"/>
      <c r="B839" s="164"/>
      <c r="C839" s="160"/>
      <c r="D839" s="160"/>
      <c r="E839" s="218"/>
      <c r="H839" s="171"/>
    </row>
    <row r="840">
      <c r="A840" s="217"/>
      <c r="B840" s="164"/>
      <c r="C840" s="160"/>
      <c r="D840" s="160"/>
      <c r="E840" s="218"/>
      <c r="H840" s="171"/>
    </row>
    <row r="841">
      <c r="A841" s="217"/>
      <c r="B841" s="164"/>
      <c r="C841" s="160"/>
      <c r="D841" s="160"/>
      <c r="E841" s="218"/>
      <c r="H841" s="171"/>
    </row>
    <row r="842">
      <c r="A842" s="217"/>
      <c r="B842" s="164"/>
      <c r="C842" s="160"/>
      <c r="D842" s="160"/>
      <c r="E842" s="218"/>
      <c r="H842" s="171"/>
    </row>
    <row r="843">
      <c r="A843" s="217"/>
      <c r="B843" s="164"/>
      <c r="C843" s="160"/>
      <c r="D843" s="160"/>
      <c r="E843" s="218"/>
      <c r="H843" s="171"/>
    </row>
    <row r="844">
      <c r="A844" s="217"/>
      <c r="B844" s="164"/>
      <c r="C844" s="160"/>
      <c r="D844" s="160"/>
      <c r="E844" s="218"/>
      <c r="H844" s="171"/>
    </row>
    <row r="845">
      <c r="A845" s="217"/>
      <c r="B845" s="164"/>
      <c r="C845" s="160"/>
      <c r="D845" s="160"/>
      <c r="E845" s="218"/>
      <c r="H845" s="171"/>
    </row>
    <row r="846">
      <c r="A846" s="217"/>
      <c r="B846" s="164"/>
      <c r="C846" s="160"/>
      <c r="D846" s="160"/>
      <c r="E846" s="218"/>
      <c r="H846" s="171"/>
    </row>
    <row r="847">
      <c r="A847" s="217"/>
      <c r="B847" s="164"/>
      <c r="C847" s="160"/>
      <c r="D847" s="160"/>
      <c r="E847" s="218"/>
      <c r="H847" s="171"/>
    </row>
    <row r="848">
      <c r="A848" s="217"/>
      <c r="B848" s="164"/>
      <c r="C848" s="160"/>
      <c r="D848" s="160"/>
      <c r="E848" s="218"/>
      <c r="H848" s="171"/>
    </row>
    <row r="849">
      <c r="A849" s="217"/>
      <c r="B849" s="164"/>
      <c r="C849" s="160"/>
      <c r="D849" s="160"/>
      <c r="E849" s="218"/>
      <c r="H849" s="171"/>
    </row>
    <row r="850">
      <c r="A850" s="217"/>
      <c r="B850" s="164"/>
      <c r="C850" s="160"/>
      <c r="D850" s="160"/>
      <c r="E850" s="218"/>
      <c r="H850" s="171"/>
    </row>
    <row r="851">
      <c r="A851" s="217"/>
      <c r="B851" s="164"/>
      <c r="C851" s="160"/>
      <c r="D851" s="160"/>
      <c r="E851" s="218"/>
      <c r="H851" s="171"/>
    </row>
    <row r="852">
      <c r="A852" s="217"/>
      <c r="B852" s="164"/>
      <c r="C852" s="160"/>
      <c r="D852" s="160"/>
      <c r="E852" s="218"/>
      <c r="H852" s="171"/>
    </row>
    <row r="853">
      <c r="A853" s="217"/>
      <c r="B853" s="164"/>
      <c r="C853" s="160"/>
      <c r="D853" s="160"/>
      <c r="E853" s="218"/>
      <c r="H853" s="171"/>
    </row>
    <row r="854">
      <c r="A854" s="217"/>
      <c r="B854" s="164"/>
      <c r="C854" s="160"/>
      <c r="D854" s="160"/>
      <c r="E854" s="218"/>
      <c r="H854" s="171"/>
    </row>
    <row r="855">
      <c r="A855" s="217"/>
      <c r="B855" s="164"/>
      <c r="C855" s="160"/>
      <c r="D855" s="160"/>
      <c r="E855" s="218"/>
      <c r="H855" s="171"/>
    </row>
    <row r="856">
      <c r="A856" s="217"/>
      <c r="B856" s="164"/>
      <c r="C856" s="160"/>
      <c r="D856" s="160"/>
      <c r="E856" s="218"/>
      <c r="H856" s="171"/>
    </row>
    <row r="857">
      <c r="A857" s="217"/>
      <c r="B857" s="164"/>
      <c r="C857" s="160"/>
      <c r="D857" s="160"/>
      <c r="E857" s="218"/>
      <c r="H857" s="171"/>
    </row>
    <row r="858">
      <c r="A858" s="217"/>
      <c r="B858" s="164"/>
      <c r="C858" s="160"/>
      <c r="D858" s="160"/>
      <c r="E858" s="218"/>
      <c r="H858" s="171"/>
    </row>
    <row r="859">
      <c r="A859" s="217"/>
      <c r="B859" s="164"/>
      <c r="C859" s="160"/>
      <c r="D859" s="160"/>
      <c r="E859" s="218"/>
      <c r="H859" s="171"/>
    </row>
    <row r="860">
      <c r="A860" s="217"/>
      <c r="B860" s="164"/>
      <c r="C860" s="160"/>
      <c r="D860" s="160"/>
      <c r="E860" s="218"/>
      <c r="H860" s="171"/>
    </row>
    <row r="861">
      <c r="A861" s="217"/>
      <c r="B861" s="164"/>
      <c r="C861" s="160"/>
      <c r="D861" s="160"/>
      <c r="E861" s="218"/>
      <c r="H861" s="171"/>
    </row>
    <row r="862">
      <c r="A862" s="217"/>
      <c r="B862" s="164"/>
      <c r="C862" s="160"/>
      <c r="D862" s="160"/>
      <c r="E862" s="218"/>
      <c r="H862" s="171"/>
    </row>
    <row r="863">
      <c r="A863" s="217"/>
      <c r="B863" s="164"/>
      <c r="C863" s="160"/>
      <c r="D863" s="160"/>
      <c r="E863" s="218"/>
      <c r="H863" s="171"/>
    </row>
    <row r="864">
      <c r="A864" s="217"/>
      <c r="B864" s="164"/>
      <c r="C864" s="160"/>
      <c r="D864" s="160"/>
      <c r="E864" s="218"/>
      <c r="H864" s="171"/>
    </row>
    <row r="865">
      <c r="A865" s="217"/>
      <c r="B865" s="164"/>
      <c r="C865" s="160"/>
      <c r="D865" s="160"/>
      <c r="E865" s="218"/>
      <c r="H865" s="171"/>
    </row>
    <row r="866">
      <c r="A866" s="217"/>
      <c r="B866" s="164"/>
      <c r="C866" s="160"/>
      <c r="D866" s="160"/>
      <c r="E866" s="218"/>
      <c r="H866" s="171"/>
    </row>
    <row r="867">
      <c r="A867" s="217"/>
      <c r="B867" s="164"/>
      <c r="C867" s="160"/>
      <c r="D867" s="160"/>
      <c r="E867" s="218"/>
      <c r="H867" s="171"/>
    </row>
    <row r="868">
      <c r="A868" s="217"/>
      <c r="B868" s="164"/>
      <c r="C868" s="160"/>
      <c r="D868" s="160"/>
      <c r="E868" s="218"/>
      <c r="H868" s="171"/>
    </row>
    <row r="869">
      <c r="A869" s="217"/>
      <c r="B869" s="164"/>
      <c r="C869" s="160"/>
      <c r="D869" s="160"/>
      <c r="E869" s="218"/>
      <c r="H869" s="171"/>
    </row>
    <row r="870">
      <c r="A870" s="217"/>
      <c r="B870" s="164"/>
      <c r="C870" s="160"/>
      <c r="D870" s="160"/>
      <c r="E870" s="218"/>
      <c r="H870" s="171"/>
    </row>
    <row r="871">
      <c r="A871" s="217"/>
      <c r="B871" s="164"/>
      <c r="C871" s="160"/>
      <c r="D871" s="160"/>
      <c r="E871" s="218"/>
      <c r="H871" s="171"/>
    </row>
    <row r="872">
      <c r="A872" s="217"/>
      <c r="B872" s="164"/>
      <c r="C872" s="160"/>
      <c r="D872" s="160"/>
      <c r="E872" s="218"/>
      <c r="H872" s="171"/>
    </row>
    <row r="873">
      <c r="A873" s="217"/>
      <c r="B873" s="164"/>
      <c r="C873" s="160"/>
      <c r="D873" s="160"/>
      <c r="E873" s="218"/>
      <c r="H873" s="171"/>
    </row>
    <row r="874">
      <c r="A874" s="217"/>
      <c r="B874" s="164"/>
      <c r="C874" s="160"/>
      <c r="D874" s="160"/>
      <c r="E874" s="218"/>
      <c r="H874" s="171"/>
    </row>
    <row r="875">
      <c r="A875" s="217"/>
      <c r="B875" s="164"/>
      <c r="C875" s="160"/>
      <c r="D875" s="160"/>
      <c r="E875" s="218"/>
      <c r="H875" s="171"/>
    </row>
    <row r="876">
      <c r="A876" s="217"/>
      <c r="B876" s="164"/>
      <c r="C876" s="160"/>
      <c r="D876" s="160"/>
      <c r="E876" s="218"/>
      <c r="H876" s="171"/>
    </row>
    <row r="877">
      <c r="A877" s="217"/>
      <c r="B877" s="164"/>
      <c r="C877" s="160"/>
      <c r="D877" s="160"/>
      <c r="E877" s="218"/>
      <c r="H877" s="171"/>
    </row>
    <row r="878">
      <c r="A878" s="217"/>
      <c r="B878" s="164"/>
      <c r="C878" s="160"/>
      <c r="D878" s="160"/>
      <c r="E878" s="218"/>
      <c r="H878" s="171"/>
    </row>
    <row r="879">
      <c r="A879" s="217"/>
      <c r="B879" s="164"/>
      <c r="C879" s="160"/>
      <c r="D879" s="160"/>
      <c r="E879" s="218"/>
      <c r="H879" s="171"/>
    </row>
    <row r="880">
      <c r="A880" s="217"/>
      <c r="B880" s="164"/>
      <c r="C880" s="160"/>
      <c r="D880" s="160"/>
      <c r="E880" s="218"/>
      <c r="H880" s="171"/>
    </row>
    <row r="881">
      <c r="A881" s="217"/>
      <c r="B881" s="164"/>
      <c r="C881" s="160"/>
      <c r="D881" s="160"/>
      <c r="E881" s="218"/>
      <c r="H881" s="171"/>
    </row>
    <row r="882">
      <c r="A882" s="217"/>
      <c r="B882" s="164"/>
      <c r="C882" s="160"/>
      <c r="D882" s="160"/>
      <c r="E882" s="218"/>
      <c r="H882" s="171"/>
    </row>
    <row r="883">
      <c r="A883" s="217"/>
      <c r="B883" s="164"/>
      <c r="C883" s="160"/>
      <c r="D883" s="160"/>
      <c r="E883" s="218"/>
      <c r="H883" s="171"/>
    </row>
    <row r="884">
      <c r="A884" s="217"/>
      <c r="B884" s="164"/>
      <c r="C884" s="160"/>
      <c r="D884" s="160"/>
      <c r="E884" s="218"/>
      <c r="H884" s="171"/>
    </row>
    <row r="885">
      <c r="A885" s="217"/>
      <c r="B885" s="164"/>
      <c r="C885" s="160"/>
      <c r="D885" s="160"/>
      <c r="E885" s="218"/>
      <c r="H885" s="171"/>
    </row>
    <row r="886">
      <c r="A886" s="217"/>
      <c r="B886" s="164"/>
      <c r="C886" s="160"/>
      <c r="D886" s="160"/>
      <c r="E886" s="218"/>
      <c r="H886" s="171"/>
    </row>
    <row r="887">
      <c r="A887" s="217"/>
      <c r="B887" s="164"/>
      <c r="C887" s="160"/>
      <c r="D887" s="160"/>
      <c r="E887" s="218"/>
      <c r="H887" s="171"/>
    </row>
    <row r="888">
      <c r="A888" s="217"/>
      <c r="B888" s="164"/>
      <c r="C888" s="160"/>
      <c r="D888" s="160"/>
      <c r="E888" s="218"/>
      <c r="H888" s="171"/>
    </row>
    <row r="889">
      <c r="A889" s="217"/>
      <c r="B889" s="164"/>
      <c r="C889" s="160"/>
      <c r="D889" s="160"/>
      <c r="E889" s="218"/>
      <c r="H889" s="171"/>
    </row>
    <row r="890">
      <c r="A890" s="217"/>
      <c r="B890" s="164"/>
      <c r="C890" s="160"/>
      <c r="D890" s="160"/>
      <c r="E890" s="218"/>
      <c r="H890" s="171"/>
    </row>
    <row r="891">
      <c r="A891" s="217"/>
      <c r="B891" s="164"/>
      <c r="C891" s="160"/>
      <c r="D891" s="160"/>
      <c r="E891" s="218"/>
      <c r="H891" s="171"/>
    </row>
    <row r="892">
      <c r="A892" s="217"/>
      <c r="B892" s="164"/>
      <c r="C892" s="160"/>
      <c r="D892" s="160"/>
      <c r="E892" s="218"/>
      <c r="H892" s="171"/>
    </row>
    <row r="893">
      <c r="A893" s="217"/>
      <c r="B893" s="164"/>
      <c r="C893" s="160"/>
      <c r="D893" s="160"/>
      <c r="E893" s="218"/>
      <c r="H893" s="171"/>
    </row>
    <row r="894">
      <c r="A894" s="217"/>
      <c r="B894" s="164"/>
      <c r="C894" s="160"/>
      <c r="D894" s="160"/>
      <c r="E894" s="218"/>
      <c r="H894" s="171"/>
    </row>
    <row r="895">
      <c r="A895" s="217"/>
      <c r="B895" s="164"/>
      <c r="C895" s="160"/>
      <c r="D895" s="160"/>
      <c r="E895" s="218"/>
      <c r="H895" s="171"/>
    </row>
    <row r="896">
      <c r="A896" s="217"/>
      <c r="B896" s="164"/>
      <c r="C896" s="160"/>
      <c r="D896" s="160"/>
      <c r="E896" s="218"/>
      <c r="H896" s="171"/>
    </row>
    <row r="897">
      <c r="A897" s="217"/>
      <c r="B897" s="164"/>
      <c r="C897" s="160"/>
      <c r="D897" s="160"/>
      <c r="E897" s="218"/>
      <c r="H897" s="171"/>
    </row>
    <row r="898">
      <c r="A898" s="217"/>
      <c r="B898" s="164"/>
      <c r="C898" s="160"/>
      <c r="D898" s="160"/>
      <c r="E898" s="218"/>
      <c r="H898" s="171"/>
    </row>
    <row r="899">
      <c r="A899" s="217"/>
      <c r="B899" s="164"/>
      <c r="C899" s="160"/>
      <c r="D899" s="160"/>
      <c r="E899" s="218"/>
      <c r="H899" s="171"/>
    </row>
    <row r="900">
      <c r="A900" s="217"/>
      <c r="B900" s="164"/>
      <c r="C900" s="160"/>
      <c r="D900" s="160"/>
      <c r="E900" s="218"/>
      <c r="H900" s="171"/>
    </row>
    <row r="901">
      <c r="A901" s="217"/>
      <c r="B901" s="164"/>
      <c r="C901" s="160"/>
      <c r="D901" s="160"/>
      <c r="E901" s="218"/>
      <c r="H901" s="171"/>
    </row>
    <row r="902">
      <c r="A902" s="217"/>
      <c r="B902" s="164"/>
      <c r="C902" s="160"/>
      <c r="D902" s="160"/>
      <c r="E902" s="218"/>
      <c r="H902" s="171"/>
    </row>
    <row r="903">
      <c r="A903" s="217"/>
      <c r="B903" s="164"/>
      <c r="C903" s="160"/>
      <c r="D903" s="160"/>
      <c r="E903" s="218"/>
      <c r="H903" s="171"/>
    </row>
    <row r="904">
      <c r="A904" s="217"/>
      <c r="B904" s="164"/>
      <c r="C904" s="160"/>
      <c r="D904" s="160"/>
      <c r="E904" s="218"/>
      <c r="H904" s="171"/>
    </row>
    <row r="905">
      <c r="A905" s="217"/>
      <c r="B905" s="164"/>
      <c r="C905" s="160"/>
      <c r="D905" s="160"/>
      <c r="E905" s="218"/>
      <c r="H905" s="171"/>
    </row>
    <row r="906">
      <c r="A906" s="217"/>
      <c r="B906" s="164"/>
      <c r="C906" s="160"/>
      <c r="D906" s="160"/>
      <c r="E906" s="218"/>
      <c r="H906" s="171"/>
    </row>
    <row r="907">
      <c r="A907" s="217"/>
      <c r="B907" s="164"/>
      <c r="C907" s="160"/>
      <c r="D907" s="160"/>
      <c r="E907" s="218"/>
      <c r="H907" s="171"/>
    </row>
    <row r="908">
      <c r="A908" s="217"/>
      <c r="B908" s="164"/>
      <c r="C908" s="160"/>
      <c r="D908" s="160"/>
      <c r="E908" s="218"/>
      <c r="H908" s="171"/>
    </row>
    <row r="909">
      <c r="A909" s="217"/>
      <c r="B909" s="164"/>
      <c r="C909" s="160"/>
      <c r="D909" s="160"/>
      <c r="E909" s="218"/>
      <c r="H909" s="171"/>
    </row>
    <row r="910">
      <c r="A910" s="217"/>
      <c r="B910" s="164"/>
      <c r="C910" s="160"/>
      <c r="D910" s="160"/>
      <c r="E910" s="218"/>
      <c r="H910" s="171"/>
    </row>
    <row r="911">
      <c r="A911" s="217"/>
      <c r="B911" s="164"/>
      <c r="C911" s="160"/>
      <c r="D911" s="160"/>
      <c r="E911" s="218"/>
      <c r="H911" s="171"/>
    </row>
    <row r="912">
      <c r="A912" s="217"/>
      <c r="B912" s="164"/>
      <c r="C912" s="160"/>
      <c r="D912" s="160"/>
      <c r="E912" s="218"/>
      <c r="H912" s="171"/>
    </row>
    <row r="913">
      <c r="A913" s="217"/>
      <c r="B913" s="164"/>
      <c r="C913" s="160"/>
      <c r="D913" s="160"/>
      <c r="E913" s="218"/>
      <c r="H913" s="171"/>
    </row>
    <row r="914">
      <c r="A914" s="217"/>
      <c r="B914" s="164"/>
      <c r="C914" s="160"/>
      <c r="D914" s="160"/>
      <c r="E914" s="218"/>
      <c r="H914" s="171"/>
    </row>
    <row r="915">
      <c r="A915" s="217"/>
      <c r="B915" s="164"/>
      <c r="C915" s="160"/>
      <c r="D915" s="160"/>
      <c r="E915" s="218"/>
      <c r="H915" s="171"/>
    </row>
    <row r="916">
      <c r="A916" s="217"/>
      <c r="B916" s="164"/>
      <c r="C916" s="160"/>
      <c r="D916" s="160"/>
      <c r="E916" s="218"/>
      <c r="H916" s="171"/>
    </row>
    <row r="917">
      <c r="A917" s="217"/>
      <c r="B917" s="164"/>
      <c r="C917" s="160"/>
      <c r="D917" s="160"/>
      <c r="E917" s="218"/>
      <c r="H917" s="171"/>
    </row>
    <row r="918">
      <c r="A918" s="217"/>
      <c r="B918" s="164"/>
      <c r="C918" s="160"/>
      <c r="D918" s="160"/>
      <c r="E918" s="218"/>
      <c r="H918" s="171"/>
    </row>
    <row r="919">
      <c r="A919" s="217"/>
      <c r="B919" s="164"/>
      <c r="C919" s="160"/>
      <c r="D919" s="160"/>
      <c r="E919" s="218"/>
      <c r="H919" s="171"/>
    </row>
    <row r="920">
      <c r="A920" s="217"/>
      <c r="B920" s="164"/>
      <c r="C920" s="160"/>
      <c r="D920" s="160"/>
      <c r="E920" s="218"/>
      <c r="H920" s="171"/>
    </row>
    <row r="921">
      <c r="A921" s="217"/>
      <c r="B921" s="164"/>
      <c r="C921" s="160"/>
      <c r="D921" s="160"/>
      <c r="E921" s="218"/>
      <c r="H921" s="171"/>
    </row>
    <row r="922">
      <c r="A922" s="217"/>
      <c r="B922" s="164"/>
      <c r="C922" s="160"/>
      <c r="D922" s="160"/>
      <c r="E922" s="218"/>
      <c r="H922" s="171"/>
    </row>
    <row r="923">
      <c r="A923" s="217"/>
      <c r="B923" s="164"/>
      <c r="C923" s="160"/>
      <c r="D923" s="160"/>
      <c r="E923" s="218"/>
      <c r="H923" s="171"/>
    </row>
    <row r="924">
      <c r="A924" s="217"/>
      <c r="B924" s="164"/>
      <c r="C924" s="160"/>
      <c r="D924" s="160"/>
      <c r="E924" s="218"/>
      <c r="H924" s="171"/>
    </row>
    <row r="925">
      <c r="A925" s="217"/>
      <c r="B925" s="164"/>
      <c r="C925" s="160"/>
      <c r="D925" s="160"/>
      <c r="E925" s="218"/>
      <c r="H925" s="171"/>
    </row>
    <row r="926">
      <c r="A926" s="217"/>
      <c r="B926" s="164"/>
      <c r="C926" s="160"/>
      <c r="D926" s="160"/>
      <c r="E926" s="218"/>
      <c r="H926" s="171"/>
    </row>
    <row r="927">
      <c r="A927" s="217"/>
      <c r="B927" s="164"/>
      <c r="C927" s="160"/>
      <c r="D927" s="160"/>
      <c r="E927" s="218"/>
      <c r="H927" s="171"/>
    </row>
    <row r="928">
      <c r="A928" s="217"/>
      <c r="B928" s="164"/>
      <c r="C928" s="160"/>
      <c r="D928" s="160"/>
      <c r="E928" s="218"/>
      <c r="H928" s="171"/>
    </row>
    <row r="929">
      <c r="A929" s="217"/>
      <c r="B929" s="164"/>
      <c r="C929" s="160"/>
      <c r="D929" s="160"/>
      <c r="E929" s="218"/>
      <c r="H929" s="171"/>
    </row>
    <row r="930">
      <c r="A930" s="217"/>
      <c r="B930" s="164"/>
      <c r="C930" s="160"/>
      <c r="D930" s="160"/>
      <c r="E930" s="218"/>
      <c r="H930" s="171"/>
    </row>
    <row r="931">
      <c r="A931" s="217"/>
      <c r="B931" s="164"/>
      <c r="C931" s="160"/>
      <c r="D931" s="160"/>
      <c r="E931" s="218"/>
      <c r="H931" s="171"/>
    </row>
    <row r="932">
      <c r="A932" s="217"/>
      <c r="B932" s="164"/>
      <c r="C932" s="160"/>
      <c r="D932" s="160"/>
      <c r="E932" s="218"/>
      <c r="H932" s="171"/>
    </row>
    <row r="933">
      <c r="A933" s="217"/>
      <c r="B933" s="164"/>
      <c r="C933" s="160"/>
      <c r="D933" s="160"/>
      <c r="E933" s="218"/>
      <c r="H933" s="171"/>
    </row>
    <row r="934">
      <c r="A934" s="217"/>
      <c r="B934" s="164"/>
      <c r="C934" s="160"/>
      <c r="D934" s="160"/>
      <c r="E934" s="218"/>
      <c r="H934" s="171"/>
    </row>
    <row r="935">
      <c r="A935" s="217"/>
      <c r="B935" s="164"/>
      <c r="C935" s="160"/>
      <c r="D935" s="160"/>
      <c r="E935" s="218"/>
      <c r="H935" s="171"/>
    </row>
    <row r="936">
      <c r="A936" s="217"/>
      <c r="B936" s="164"/>
      <c r="C936" s="160"/>
      <c r="D936" s="160"/>
      <c r="E936" s="218"/>
      <c r="H936" s="171"/>
    </row>
    <row r="937">
      <c r="A937" s="217"/>
      <c r="B937" s="164"/>
      <c r="C937" s="160"/>
      <c r="D937" s="160"/>
      <c r="E937" s="218"/>
      <c r="H937" s="171"/>
    </row>
    <row r="938">
      <c r="A938" s="217"/>
      <c r="B938" s="164"/>
      <c r="C938" s="160"/>
      <c r="D938" s="160"/>
      <c r="E938" s="218"/>
      <c r="H938" s="171"/>
    </row>
    <row r="939">
      <c r="A939" s="217"/>
      <c r="B939" s="164"/>
      <c r="C939" s="160"/>
      <c r="D939" s="160"/>
      <c r="E939" s="218"/>
      <c r="H939" s="171"/>
    </row>
    <row r="940">
      <c r="A940" s="217"/>
      <c r="B940" s="164"/>
      <c r="C940" s="160"/>
      <c r="D940" s="160"/>
      <c r="E940" s="218"/>
      <c r="H940" s="171"/>
    </row>
    <row r="941">
      <c r="A941" s="217"/>
      <c r="B941" s="164"/>
      <c r="C941" s="160"/>
      <c r="D941" s="160"/>
      <c r="E941" s="218"/>
      <c r="H941" s="171"/>
    </row>
    <row r="942">
      <c r="A942" s="217"/>
      <c r="B942" s="164"/>
      <c r="C942" s="160"/>
      <c r="D942" s="160"/>
      <c r="E942" s="218"/>
      <c r="H942" s="171"/>
    </row>
    <row r="943">
      <c r="A943" s="217"/>
      <c r="B943" s="164"/>
      <c r="C943" s="160"/>
      <c r="D943" s="160"/>
      <c r="E943" s="218"/>
      <c r="H943" s="171"/>
    </row>
    <row r="944">
      <c r="A944" s="217"/>
      <c r="B944" s="164"/>
      <c r="C944" s="160"/>
      <c r="D944" s="160"/>
      <c r="E944" s="218"/>
      <c r="H944" s="171"/>
    </row>
    <row r="945">
      <c r="A945" s="217"/>
      <c r="B945" s="164"/>
      <c r="C945" s="160"/>
      <c r="D945" s="160"/>
      <c r="E945" s="218"/>
      <c r="H945" s="171"/>
    </row>
    <row r="946">
      <c r="A946" s="217"/>
      <c r="B946" s="164"/>
      <c r="C946" s="160"/>
      <c r="D946" s="160"/>
      <c r="E946" s="218"/>
      <c r="H946" s="171"/>
    </row>
    <row r="947">
      <c r="A947" s="217"/>
      <c r="B947" s="164"/>
      <c r="C947" s="160"/>
      <c r="D947" s="160"/>
      <c r="E947" s="218"/>
      <c r="H947" s="171"/>
    </row>
    <row r="948">
      <c r="A948" s="217"/>
      <c r="B948" s="164"/>
      <c r="C948" s="160"/>
      <c r="D948" s="160"/>
      <c r="E948" s="218"/>
      <c r="H948" s="171"/>
    </row>
    <row r="949">
      <c r="A949" s="217"/>
      <c r="B949" s="164"/>
      <c r="C949" s="160"/>
      <c r="D949" s="160"/>
      <c r="E949" s="218"/>
      <c r="H949" s="171"/>
    </row>
    <row r="950">
      <c r="A950" s="217"/>
      <c r="B950" s="164"/>
      <c r="C950" s="160"/>
      <c r="D950" s="160"/>
      <c r="E950" s="218"/>
      <c r="H950" s="171"/>
    </row>
    <row r="951">
      <c r="A951" s="217"/>
      <c r="B951" s="164"/>
      <c r="C951" s="160"/>
      <c r="D951" s="160"/>
      <c r="E951" s="218"/>
      <c r="H951" s="171"/>
    </row>
    <row r="952">
      <c r="A952" s="217"/>
      <c r="B952" s="164"/>
      <c r="C952" s="160"/>
      <c r="D952" s="160"/>
      <c r="E952" s="218"/>
      <c r="H952" s="171"/>
    </row>
    <row r="953">
      <c r="A953" s="217"/>
      <c r="B953" s="164"/>
      <c r="C953" s="160"/>
      <c r="D953" s="160"/>
      <c r="E953" s="218"/>
      <c r="H953" s="171"/>
    </row>
    <row r="954">
      <c r="A954" s="217"/>
      <c r="B954" s="164"/>
      <c r="C954" s="160"/>
      <c r="D954" s="160"/>
      <c r="E954" s="218"/>
      <c r="H954" s="171"/>
    </row>
    <row r="955">
      <c r="A955" s="217"/>
      <c r="B955" s="164"/>
      <c r="C955" s="160"/>
      <c r="D955" s="160"/>
      <c r="E955" s="218"/>
      <c r="H955" s="171"/>
    </row>
    <row r="956">
      <c r="A956" s="217"/>
      <c r="B956" s="164"/>
      <c r="C956" s="160"/>
      <c r="D956" s="160"/>
      <c r="E956" s="218"/>
      <c r="H956" s="171"/>
    </row>
    <row r="957">
      <c r="A957" s="217"/>
      <c r="B957" s="164"/>
      <c r="C957" s="160"/>
      <c r="D957" s="160"/>
      <c r="E957" s="218"/>
      <c r="H957" s="171"/>
    </row>
    <row r="958">
      <c r="A958" s="217"/>
      <c r="B958" s="164"/>
      <c r="C958" s="160"/>
      <c r="D958" s="160"/>
      <c r="E958" s="218"/>
      <c r="H958" s="171"/>
    </row>
    <row r="959">
      <c r="A959" s="217"/>
      <c r="B959" s="164"/>
      <c r="C959" s="160"/>
      <c r="D959" s="160"/>
      <c r="E959" s="218"/>
      <c r="H959" s="171"/>
    </row>
    <row r="960">
      <c r="A960" s="217"/>
      <c r="B960" s="164"/>
      <c r="C960" s="160"/>
      <c r="D960" s="160"/>
      <c r="E960" s="218"/>
      <c r="H960" s="171"/>
    </row>
    <row r="961">
      <c r="A961" s="217"/>
      <c r="B961" s="164"/>
      <c r="C961" s="160"/>
      <c r="D961" s="160"/>
      <c r="E961" s="218"/>
      <c r="H961" s="171"/>
    </row>
    <row r="962">
      <c r="A962" s="217"/>
      <c r="B962" s="164"/>
      <c r="C962" s="160"/>
      <c r="D962" s="160"/>
      <c r="E962" s="218"/>
      <c r="H962" s="171"/>
    </row>
    <row r="963">
      <c r="A963" s="217"/>
      <c r="B963" s="164"/>
      <c r="C963" s="160"/>
      <c r="D963" s="160"/>
      <c r="E963" s="218"/>
      <c r="H963" s="171"/>
    </row>
    <row r="964">
      <c r="A964" s="217"/>
      <c r="B964" s="164"/>
      <c r="C964" s="160"/>
      <c r="D964" s="160"/>
      <c r="E964" s="218"/>
      <c r="H964" s="171"/>
    </row>
    <row r="965">
      <c r="A965" s="217"/>
      <c r="B965" s="164"/>
      <c r="C965" s="160"/>
      <c r="D965" s="160"/>
      <c r="E965" s="218"/>
      <c r="H965" s="171"/>
    </row>
    <row r="966">
      <c r="A966" s="217"/>
      <c r="B966" s="164"/>
      <c r="C966" s="160"/>
      <c r="D966" s="160"/>
      <c r="E966" s="218"/>
      <c r="H966" s="171"/>
    </row>
    <row r="967">
      <c r="A967" s="217"/>
      <c r="B967" s="164"/>
      <c r="C967" s="160"/>
      <c r="D967" s="160"/>
      <c r="E967" s="218"/>
      <c r="H967" s="171"/>
    </row>
    <row r="968">
      <c r="A968" s="217"/>
      <c r="B968" s="164"/>
      <c r="C968" s="160"/>
      <c r="D968" s="160"/>
      <c r="E968" s="218"/>
      <c r="H968" s="171"/>
    </row>
    <row r="969">
      <c r="A969" s="217"/>
      <c r="B969" s="164"/>
      <c r="C969" s="160"/>
      <c r="D969" s="160"/>
      <c r="E969" s="218"/>
      <c r="H969" s="171"/>
    </row>
    <row r="970">
      <c r="A970" s="217"/>
      <c r="B970" s="164"/>
      <c r="C970" s="160"/>
      <c r="D970" s="160"/>
      <c r="E970" s="218"/>
      <c r="H970" s="171"/>
    </row>
    <row r="971">
      <c r="A971" s="217"/>
      <c r="B971" s="164"/>
      <c r="C971" s="160"/>
      <c r="D971" s="160"/>
      <c r="E971" s="218"/>
      <c r="H971" s="171"/>
    </row>
    <row r="972">
      <c r="A972" s="217"/>
      <c r="B972" s="164"/>
      <c r="C972" s="160"/>
      <c r="D972" s="160"/>
      <c r="E972" s="218"/>
      <c r="H972" s="171"/>
    </row>
    <row r="973">
      <c r="A973" s="217"/>
      <c r="B973" s="164"/>
      <c r="C973" s="160"/>
      <c r="D973" s="160"/>
      <c r="E973" s="218"/>
      <c r="H973" s="171"/>
    </row>
    <row r="974">
      <c r="A974" s="217"/>
      <c r="B974" s="164"/>
      <c r="C974" s="160"/>
      <c r="D974" s="160"/>
      <c r="E974" s="218"/>
      <c r="H974" s="171"/>
    </row>
    <row r="975">
      <c r="A975" s="217"/>
      <c r="B975" s="164"/>
      <c r="C975" s="160"/>
      <c r="D975" s="160"/>
      <c r="E975" s="218"/>
      <c r="H975" s="171"/>
    </row>
    <row r="976">
      <c r="A976" s="217"/>
      <c r="B976" s="164"/>
      <c r="C976" s="160"/>
      <c r="D976" s="160"/>
      <c r="E976" s="218"/>
      <c r="H976" s="171"/>
    </row>
    <row r="977">
      <c r="A977" s="217"/>
      <c r="B977" s="164"/>
      <c r="C977" s="160"/>
      <c r="D977" s="160"/>
      <c r="E977" s="218"/>
      <c r="H977" s="171"/>
    </row>
    <row r="978">
      <c r="A978" s="217"/>
      <c r="B978" s="164"/>
      <c r="C978" s="160"/>
      <c r="D978" s="160"/>
      <c r="E978" s="218"/>
      <c r="H978" s="171"/>
    </row>
    <row r="979">
      <c r="A979" s="217"/>
      <c r="B979" s="164"/>
      <c r="C979" s="160"/>
      <c r="D979" s="160"/>
      <c r="E979" s="218"/>
      <c r="H979" s="171"/>
    </row>
    <row r="980">
      <c r="A980" s="217"/>
      <c r="B980" s="164"/>
      <c r="C980" s="160"/>
      <c r="D980" s="160"/>
      <c r="E980" s="218"/>
      <c r="H980" s="171"/>
    </row>
    <row r="981">
      <c r="A981" s="217"/>
      <c r="B981" s="164"/>
      <c r="C981" s="160"/>
      <c r="D981" s="160"/>
      <c r="E981" s="218"/>
      <c r="H981" s="171"/>
    </row>
    <row r="982">
      <c r="A982" s="217"/>
      <c r="B982" s="164"/>
      <c r="C982" s="160"/>
      <c r="D982" s="160"/>
      <c r="E982" s="218"/>
      <c r="H982" s="171"/>
    </row>
    <row r="983">
      <c r="A983" s="217"/>
      <c r="B983" s="164"/>
      <c r="C983" s="160"/>
      <c r="D983" s="160"/>
      <c r="E983" s="218"/>
      <c r="H983" s="171"/>
    </row>
    <row r="984">
      <c r="A984" s="217"/>
      <c r="B984" s="164"/>
      <c r="C984" s="160"/>
      <c r="D984" s="160"/>
      <c r="E984" s="218"/>
      <c r="H984" s="171"/>
    </row>
    <row r="985">
      <c r="A985" s="217"/>
      <c r="B985" s="164"/>
      <c r="C985" s="160"/>
      <c r="D985" s="160"/>
      <c r="E985" s="218"/>
      <c r="H985" s="171"/>
    </row>
    <row r="986">
      <c r="A986" s="217"/>
      <c r="B986" s="164"/>
      <c r="C986" s="160"/>
      <c r="D986" s="160"/>
      <c r="E986" s="218"/>
      <c r="H986" s="171"/>
    </row>
    <row r="987">
      <c r="A987" s="217"/>
      <c r="B987" s="164"/>
      <c r="C987" s="160"/>
      <c r="D987" s="160"/>
      <c r="E987" s="218"/>
      <c r="H987" s="171"/>
    </row>
    <row r="988">
      <c r="A988" s="217"/>
      <c r="B988" s="164"/>
      <c r="C988" s="160"/>
      <c r="D988" s="160"/>
      <c r="E988" s="218"/>
      <c r="H988" s="171"/>
    </row>
    <row r="989">
      <c r="A989" s="217"/>
      <c r="B989" s="164"/>
      <c r="C989" s="160"/>
      <c r="D989" s="160"/>
      <c r="E989" s="218"/>
      <c r="H989" s="171"/>
    </row>
    <row r="990">
      <c r="A990" s="217"/>
      <c r="B990" s="164"/>
      <c r="C990" s="160"/>
      <c r="D990" s="160"/>
      <c r="E990" s="218"/>
      <c r="H990" s="171"/>
    </row>
    <row r="991">
      <c r="A991" s="217"/>
      <c r="B991" s="164"/>
      <c r="C991" s="160"/>
      <c r="D991" s="160"/>
      <c r="E991" s="218"/>
      <c r="H991" s="171"/>
    </row>
    <row r="992">
      <c r="A992" s="217"/>
      <c r="B992" s="164"/>
      <c r="C992" s="160"/>
      <c r="D992" s="160"/>
      <c r="E992" s="218"/>
      <c r="H992" s="171"/>
    </row>
    <row r="993">
      <c r="A993" s="217"/>
      <c r="B993" s="164"/>
      <c r="C993" s="160"/>
      <c r="D993" s="160"/>
      <c r="E993" s="218"/>
      <c r="H993" s="171"/>
    </row>
    <row r="994">
      <c r="A994" s="217"/>
      <c r="B994" s="164"/>
      <c r="C994" s="160"/>
      <c r="D994" s="160"/>
      <c r="E994" s="218"/>
      <c r="H994" s="171"/>
    </row>
    <row r="995">
      <c r="A995" s="217"/>
      <c r="B995" s="164"/>
      <c r="C995" s="160"/>
      <c r="D995" s="160"/>
      <c r="E995" s="218"/>
      <c r="H995" s="171"/>
    </row>
    <row r="996">
      <c r="A996" s="217"/>
      <c r="B996" s="164"/>
      <c r="C996" s="160"/>
      <c r="D996" s="160"/>
      <c r="E996" s="218"/>
      <c r="H996" s="171"/>
    </row>
    <row r="997">
      <c r="A997" s="217"/>
      <c r="B997" s="164"/>
      <c r="C997" s="160"/>
      <c r="D997" s="160"/>
      <c r="E997" s="218"/>
      <c r="H997" s="171"/>
    </row>
    <row r="998">
      <c r="A998" s="217"/>
      <c r="B998" s="164"/>
      <c r="C998" s="160"/>
      <c r="D998" s="160"/>
      <c r="E998" s="218"/>
      <c r="H998" s="171"/>
    </row>
    <row r="999">
      <c r="A999" s="217"/>
      <c r="B999" s="164"/>
      <c r="C999" s="160"/>
      <c r="D999" s="160"/>
      <c r="E999" s="218"/>
      <c r="H999" s="171"/>
    </row>
    <row r="1000">
      <c r="A1000" s="217"/>
      <c r="B1000" s="164"/>
      <c r="C1000" s="160"/>
      <c r="D1000" s="160"/>
      <c r="E1000" s="218"/>
      <c r="H1000" s="171"/>
    </row>
    <row r="1001">
      <c r="A1001" s="217"/>
      <c r="B1001" s="164"/>
      <c r="C1001" s="160"/>
      <c r="D1001" s="160"/>
      <c r="E1001" s="218"/>
      <c r="H1001" s="171"/>
    </row>
    <row r="1002">
      <c r="A1002" s="217"/>
      <c r="B1002" s="164"/>
      <c r="C1002" s="160"/>
      <c r="D1002" s="160"/>
      <c r="E1002" s="218"/>
      <c r="H1002" s="171"/>
    </row>
    <row r="1003">
      <c r="A1003" s="217"/>
      <c r="B1003" s="164"/>
      <c r="C1003" s="160"/>
      <c r="D1003" s="160"/>
      <c r="E1003" s="218"/>
      <c r="H1003" s="171"/>
    </row>
    <row r="1004">
      <c r="A1004" s="217"/>
      <c r="B1004" s="164"/>
      <c r="C1004" s="160"/>
      <c r="D1004" s="160"/>
      <c r="E1004" s="218"/>
      <c r="H1004" s="171"/>
    </row>
    <row r="1005">
      <c r="A1005" s="217"/>
      <c r="B1005" s="164"/>
      <c r="C1005" s="160"/>
      <c r="D1005" s="160"/>
      <c r="E1005" s="218"/>
      <c r="H1005" s="171"/>
    </row>
    <row r="1006">
      <c r="A1006" s="217"/>
      <c r="B1006" s="164"/>
      <c r="C1006" s="160"/>
      <c r="D1006" s="160"/>
      <c r="E1006" s="218"/>
      <c r="H1006" s="171"/>
    </row>
    <row r="1007">
      <c r="A1007" s="217"/>
      <c r="B1007" s="164"/>
      <c r="C1007" s="160"/>
      <c r="D1007" s="160"/>
      <c r="E1007" s="218"/>
      <c r="H1007" s="171"/>
    </row>
    <row r="1008">
      <c r="A1008" s="217"/>
      <c r="B1008" s="164"/>
      <c r="C1008" s="160"/>
      <c r="D1008" s="160"/>
      <c r="E1008" s="218"/>
      <c r="H1008" s="171"/>
    </row>
    <row r="1009">
      <c r="A1009" s="217"/>
      <c r="B1009" s="164"/>
      <c r="C1009" s="160"/>
      <c r="D1009" s="160"/>
      <c r="E1009" s="218"/>
      <c r="H1009" s="171"/>
    </row>
    <row r="1010">
      <c r="A1010" s="217"/>
      <c r="B1010" s="164"/>
      <c r="C1010" s="160"/>
      <c r="D1010" s="160"/>
      <c r="E1010" s="218"/>
      <c r="H1010" s="171"/>
    </row>
    <row r="1011">
      <c r="A1011" s="217"/>
      <c r="B1011" s="164"/>
      <c r="C1011" s="160"/>
      <c r="D1011" s="160"/>
      <c r="E1011" s="218"/>
      <c r="H1011" s="171"/>
    </row>
    <row r="1012">
      <c r="A1012" s="217"/>
      <c r="B1012" s="164"/>
      <c r="C1012" s="160"/>
      <c r="D1012" s="160"/>
      <c r="E1012" s="218"/>
      <c r="H1012" s="171"/>
    </row>
    <row r="1013">
      <c r="A1013" s="217"/>
      <c r="B1013" s="164"/>
      <c r="C1013" s="160"/>
      <c r="D1013" s="160"/>
      <c r="E1013" s="218"/>
      <c r="H1013" s="171"/>
    </row>
    <row r="1014">
      <c r="A1014" s="217"/>
      <c r="B1014" s="164"/>
      <c r="C1014" s="160"/>
      <c r="D1014" s="160"/>
      <c r="E1014" s="218"/>
      <c r="H1014" s="171"/>
    </row>
    <row r="1015">
      <c r="A1015" s="217"/>
      <c r="B1015" s="164"/>
      <c r="C1015" s="160"/>
      <c r="D1015" s="160"/>
      <c r="E1015" s="218"/>
      <c r="H1015" s="171"/>
    </row>
    <row r="1016">
      <c r="A1016" s="217"/>
      <c r="B1016" s="164"/>
      <c r="C1016" s="160"/>
      <c r="D1016" s="160"/>
      <c r="E1016" s="218"/>
      <c r="H1016" s="171"/>
    </row>
    <row r="1017">
      <c r="A1017" s="217"/>
      <c r="B1017" s="164"/>
      <c r="C1017" s="160"/>
      <c r="D1017" s="160"/>
      <c r="E1017" s="218"/>
      <c r="H1017" s="171"/>
    </row>
    <row r="1018">
      <c r="A1018" s="217"/>
      <c r="B1018" s="164"/>
      <c r="C1018" s="160"/>
      <c r="D1018" s="160"/>
      <c r="E1018" s="218"/>
      <c r="H1018" s="171"/>
    </row>
    <row r="1019">
      <c r="A1019" s="217"/>
      <c r="B1019" s="164"/>
      <c r="C1019" s="160"/>
      <c r="D1019" s="160"/>
      <c r="E1019" s="218"/>
      <c r="H1019" s="171"/>
    </row>
    <row r="1020">
      <c r="A1020" s="217"/>
      <c r="B1020" s="164"/>
      <c r="C1020" s="160"/>
      <c r="D1020" s="160"/>
      <c r="E1020" s="218"/>
      <c r="H1020" s="171"/>
    </row>
    <row r="1021">
      <c r="A1021" s="217"/>
      <c r="B1021" s="164"/>
      <c r="C1021" s="160"/>
      <c r="D1021" s="160"/>
      <c r="E1021" s="218"/>
      <c r="H1021" s="171"/>
    </row>
    <row r="1022">
      <c r="A1022" s="217"/>
      <c r="B1022" s="164"/>
      <c r="C1022" s="160"/>
      <c r="D1022" s="160"/>
      <c r="E1022" s="218"/>
      <c r="H1022" s="171"/>
    </row>
    <row r="1023">
      <c r="A1023" s="217"/>
      <c r="B1023" s="164"/>
      <c r="C1023" s="160"/>
      <c r="D1023" s="160"/>
      <c r="E1023" s="218"/>
      <c r="H1023" s="171"/>
    </row>
    <row r="1024">
      <c r="A1024" s="217"/>
      <c r="B1024" s="164"/>
      <c r="C1024" s="160"/>
      <c r="D1024" s="160"/>
      <c r="E1024" s="218"/>
      <c r="H1024" s="171"/>
    </row>
    <row r="1025">
      <c r="A1025" s="217"/>
      <c r="B1025" s="164"/>
      <c r="C1025" s="160"/>
      <c r="D1025" s="160"/>
      <c r="E1025" s="218"/>
      <c r="H1025" s="171"/>
    </row>
    <row r="1026">
      <c r="A1026" s="217"/>
      <c r="B1026" s="164"/>
      <c r="C1026" s="160"/>
      <c r="D1026" s="160"/>
      <c r="E1026" s="218"/>
      <c r="H1026" s="171"/>
    </row>
    <row r="1027">
      <c r="A1027" s="217"/>
      <c r="B1027" s="164"/>
      <c r="C1027" s="160"/>
      <c r="D1027" s="160"/>
      <c r="E1027" s="218"/>
      <c r="H1027" s="171"/>
    </row>
    <row r="1028">
      <c r="A1028" s="217"/>
      <c r="B1028" s="164"/>
      <c r="C1028" s="160"/>
      <c r="D1028" s="160"/>
      <c r="E1028" s="218"/>
      <c r="H1028" s="171"/>
    </row>
    <row r="1029">
      <c r="A1029" s="217"/>
      <c r="B1029" s="164"/>
      <c r="C1029" s="160"/>
      <c r="D1029" s="160"/>
      <c r="E1029" s="218"/>
      <c r="H1029" s="171"/>
    </row>
    <row r="1030">
      <c r="A1030" s="217"/>
      <c r="B1030" s="164"/>
      <c r="C1030" s="160"/>
      <c r="D1030" s="160"/>
      <c r="E1030" s="218"/>
      <c r="H1030" s="171"/>
    </row>
    <row r="1031">
      <c r="A1031" s="217"/>
      <c r="B1031" s="164"/>
      <c r="C1031" s="160"/>
      <c r="D1031" s="160"/>
      <c r="E1031" s="218"/>
      <c r="H1031" s="171"/>
    </row>
    <row r="1032">
      <c r="A1032" s="217"/>
      <c r="B1032" s="164"/>
      <c r="C1032" s="160"/>
      <c r="D1032" s="160"/>
      <c r="E1032" s="218"/>
      <c r="H1032" s="171"/>
    </row>
    <row r="1033">
      <c r="A1033" s="217"/>
      <c r="B1033" s="164"/>
      <c r="C1033" s="160"/>
      <c r="D1033" s="160"/>
      <c r="E1033" s="218"/>
      <c r="H1033" s="171"/>
    </row>
    <row r="1034">
      <c r="A1034" s="217"/>
      <c r="B1034" s="164"/>
      <c r="C1034" s="160"/>
      <c r="D1034" s="160"/>
      <c r="E1034" s="218"/>
      <c r="H1034" s="171"/>
    </row>
    <row r="1035">
      <c r="A1035" s="217"/>
      <c r="B1035" s="164"/>
      <c r="C1035" s="160"/>
      <c r="D1035" s="160"/>
      <c r="E1035" s="218"/>
      <c r="H1035" s="171"/>
    </row>
    <row r="1036">
      <c r="A1036" s="217"/>
      <c r="B1036" s="164"/>
      <c r="C1036" s="160"/>
      <c r="D1036" s="160"/>
      <c r="E1036" s="218"/>
      <c r="H1036" s="171"/>
    </row>
    <row r="1037">
      <c r="A1037" s="217"/>
      <c r="B1037" s="164"/>
      <c r="C1037" s="160"/>
      <c r="D1037" s="160"/>
      <c r="E1037" s="218"/>
      <c r="H1037" s="171"/>
    </row>
    <row r="1038">
      <c r="A1038" s="217"/>
      <c r="B1038" s="164"/>
      <c r="C1038" s="160"/>
      <c r="D1038" s="160"/>
      <c r="E1038" s="218"/>
      <c r="H1038" s="171"/>
    </row>
    <row r="1039">
      <c r="A1039" s="217"/>
      <c r="B1039" s="164"/>
      <c r="C1039" s="160"/>
      <c r="D1039" s="160"/>
      <c r="E1039" s="218"/>
      <c r="H1039" s="171"/>
    </row>
    <row r="1040">
      <c r="A1040" s="217"/>
      <c r="B1040" s="164"/>
      <c r="C1040" s="160"/>
      <c r="D1040" s="160"/>
      <c r="E1040" s="218"/>
      <c r="H1040" s="171"/>
    </row>
    <row r="1041">
      <c r="A1041" s="217"/>
      <c r="B1041" s="164"/>
      <c r="C1041" s="160"/>
      <c r="D1041" s="160"/>
      <c r="E1041" s="218"/>
      <c r="H1041" s="171"/>
    </row>
    <row r="1042">
      <c r="A1042" s="217"/>
      <c r="B1042" s="164"/>
      <c r="C1042" s="160"/>
      <c r="D1042" s="160"/>
      <c r="E1042" s="218"/>
      <c r="H1042" s="171"/>
    </row>
    <row r="1043">
      <c r="A1043" s="217"/>
      <c r="B1043" s="164"/>
      <c r="C1043" s="160"/>
      <c r="D1043" s="160"/>
      <c r="E1043" s="218"/>
      <c r="H1043" s="171"/>
    </row>
    <row r="1044">
      <c r="A1044" s="217"/>
      <c r="B1044" s="164"/>
      <c r="C1044" s="160"/>
      <c r="D1044" s="160"/>
      <c r="E1044" s="218"/>
      <c r="H1044" s="171"/>
    </row>
    <row r="1045">
      <c r="A1045" s="217"/>
      <c r="B1045" s="164"/>
      <c r="C1045" s="160"/>
      <c r="D1045" s="160"/>
      <c r="E1045" s="218"/>
      <c r="H1045" s="171"/>
    </row>
    <row r="1046">
      <c r="A1046" s="217"/>
      <c r="B1046" s="164"/>
      <c r="C1046" s="160"/>
      <c r="D1046" s="160"/>
      <c r="E1046" s="218"/>
      <c r="H1046" s="171"/>
    </row>
    <row r="1047">
      <c r="A1047" s="217"/>
      <c r="B1047" s="164"/>
      <c r="C1047" s="160"/>
      <c r="D1047" s="160"/>
      <c r="E1047" s="218"/>
      <c r="H1047" s="171"/>
    </row>
    <row r="1048">
      <c r="A1048" s="217"/>
      <c r="B1048" s="164"/>
      <c r="C1048" s="160"/>
      <c r="D1048" s="160"/>
      <c r="E1048" s="218"/>
      <c r="H1048" s="171"/>
    </row>
    <row r="1049">
      <c r="A1049" s="217"/>
      <c r="B1049" s="164"/>
      <c r="C1049" s="160"/>
      <c r="D1049" s="160"/>
      <c r="E1049" s="218"/>
      <c r="H1049" s="171"/>
    </row>
    <row r="1050">
      <c r="A1050" s="217"/>
      <c r="B1050" s="164"/>
      <c r="C1050" s="160"/>
      <c r="D1050" s="160"/>
      <c r="E1050" s="218"/>
      <c r="H1050" s="171"/>
    </row>
    <row r="1051">
      <c r="A1051" s="217"/>
      <c r="B1051" s="164"/>
      <c r="C1051" s="160"/>
      <c r="D1051" s="160"/>
      <c r="E1051" s="218"/>
      <c r="H1051" s="171"/>
    </row>
    <row r="1052">
      <c r="A1052" s="217"/>
      <c r="B1052" s="164"/>
      <c r="C1052" s="160"/>
      <c r="D1052" s="160"/>
      <c r="E1052" s="218"/>
      <c r="H1052" s="171"/>
    </row>
    <row r="1053">
      <c r="A1053" s="217"/>
      <c r="B1053" s="164"/>
      <c r="C1053" s="160"/>
      <c r="D1053" s="160"/>
      <c r="E1053" s="218"/>
      <c r="H1053" s="171"/>
    </row>
    <row r="1054">
      <c r="A1054" s="217"/>
      <c r="B1054" s="164"/>
      <c r="C1054" s="160"/>
      <c r="D1054" s="160"/>
      <c r="E1054" s="218"/>
      <c r="H1054" s="171"/>
    </row>
    <row r="1055">
      <c r="A1055" s="217"/>
      <c r="B1055" s="164"/>
      <c r="C1055" s="160"/>
      <c r="D1055" s="160"/>
      <c r="E1055" s="218"/>
      <c r="H1055" s="171"/>
    </row>
    <row r="1056">
      <c r="A1056" s="217"/>
      <c r="B1056" s="164"/>
      <c r="C1056" s="160"/>
      <c r="D1056" s="160"/>
      <c r="E1056" s="218"/>
      <c r="H1056" s="171"/>
    </row>
    <row r="1057">
      <c r="A1057" s="217"/>
      <c r="B1057" s="164"/>
      <c r="C1057" s="160"/>
      <c r="D1057" s="160"/>
      <c r="E1057" s="218"/>
      <c r="H1057" s="171"/>
    </row>
    <row r="1058">
      <c r="A1058" s="217"/>
      <c r="B1058" s="164"/>
      <c r="C1058" s="160"/>
      <c r="D1058" s="160"/>
      <c r="E1058" s="218"/>
      <c r="H1058" s="171"/>
    </row>
    <row r="1059">
      <c r="A1059" s="217"/>
      <c r="B1059" s="164"/>
      <c r="C1059" s="160"/>
      <c r="D1059" s="160"/>
      <c r="E1059" s="218"/>
      <c r="H1059" s="171"/>
    </row>
    <row r="1060">
      <c r="A1060" s="217"/>
      <c r="B1060" s="164"/>
      <c r="C1060" s="160"/>
      <c r="D1060" s="160"/>
      <c r="E1060" s="218"/>
      <c r="H1060" s="171"/>
    </row>
    <row r="1061">
      <c r="A1061" s="217"/>
      <c r="B1061" s="164"/>
      <c r="C1061" s="160"/>
      <c r="D1061" s="160"/>
      <c r="E1061" s="218"/>
      <c r="H1061" s="171"/>
    </row>
    <row r="1062">
      <c r="A1062" s="217"/>
      <c r="B1062" s="164"/>
      <c r="C1062" s="160"/>
      <c r="D1062" s="160"/>
      <c r="E1062" s="218"/>
      <c r="H1062" s="171"/>
    </row>
    <row r="1063">
      <c r="A1063" s="217"/>
      <c r="B1063" s="164"/>
      <c r="C1063" s="160"/>
      <c r="D1063" s="160"/>
      <c r="E1063" s="218"/>
      <c r="H1063" s="171"/>
    </row>
    <row r="1064">
      <c r="A1064" s="217"/>
      <c r="B1064" s="164"/>
      <c r="C1064" s="160"/>
      <c r="D1064" s="160"/>
      <c r="E1064" s="218"/>
      <c r="H1064" s="171"/>
    </row>
    <row r="1065">
      <c r="A1065" s="217"/>
      <c r="B1065" s="164"/>
      <c r="C1065" s="160"/>
      <c r="D1065" s="160"/>
      <c r="E1065" s="218"/>
      <c r="H1065" s="171"/>
    </row>
    <row r="1066">
      <c r="A1066" s="217"/>
      <c r="B1066" s="164"/>
      <c r="C1066" s="160"/>
      <c r="D1066" s="160"/>
      <c r="E1066" s="218"/>
      <c r="H1066" s="171"/>
    </row>
    <row r="1067">
      <c r="A1067" s="217"/>
      <c r="B1067" s="164"/>
      <c r="C1067" s="160"/>
      <c r="D1067" s="160"/>
      <c r="E1067" s="218"/>
      <c r="H1067" s="171"/>
    </row>
    <row r="1068">
      <c r="A1068" s="217"/>
      <c r="B1068" s="164"/>
      <c r="C1068" s="160"/>
      <c r="D1068" s="160"/>
      <c r="E1068" s="218"/>
      <c r="H1068" s="171"/>
    </row>
    <row r="1069">
      <c r="A1069" s="217"/>
      <c r="B1069" s="164"/>
      <c r="C1069" s="160"/>
      <c r="D1069" s="160"/>
      <c r="E1069" s="218"/>
      <c r="H1069" s="171"/>
    </row>
    <row r="1070">
      <c r="A1070" s="217"/>
      <c r="B1070" s="164"/>
      <c r="C1070" s="160"/>
      <c r="D1070" s="160"/>
      <c r="E1070" s="218"/>
      <c r="H1070" s="171"/>
    </row>
    <row r="1071">
      <c r="A1071" s="217"/>
      <c r="B1071" s="164"/>
      <c r="C1071" s="160"/>
      <c r="D1071" s="160"/>
      <c r="E1071" s="218"/>
      <c r="H1071" s="171"/>
    </row>
    <row r="1072">
      <c r="A1072" s="217"/>
      <c r="B1072" s="164"/>
      <c r="C1072" s="160"/>
      <c r="D1072" s="160"/>
      <c r="E1072" s="218"/>
      <c r="H1072" s="171"/>
    </row>
    <row r="1073">
      <c r="A1073" s="217"/>
      <c r="B1073" s="164"/>
      <c r="C1073" s="160"/>
      <c r="D1073" s="160"/>
      <c r="E1073" s="218"/>
      <c r="H1073" s="171"/>
    </row>
    <row r="1074">
      <c r="A1074" s="217"/>
      <c r="B1074" s="164"/>
      <c r="C1074" s="160"/>
      <c r="D1074" s="160"/>
      <c r="E1074" s="218"/>
      <c r="H1074" s="171"/>
    </row>
    <row r="1075">
      <c r="A1075" s="217"/>
      <c r="B1075" s="164"/>
      <c r="C1075" s="160"/>
      <c r="D1075" s="160"/>
      <c r="E1075" s="218"/>
      <c r="H1075" s="171"/>
    </row>
    <row r="1076">
      <c r="A1076" s="217"/>
      <c r="B1076" s="164"/>
      <c r="C1076" s="160"/>
      <c r="D1076" s="160"/>
      <c r="E1076" s="218"/>
      <c r="H1076" s="171"/>
    </row>
    <row r="1077">
      <c r="A1077" s="217"/>
      <c r="B1077" s="164"/>
      <c r="C1077" s="160"/>
      <c r="D1077" s="160"/>
      <c r="E1077" s="218"/>
      <c r="H1077" s="171"/>
    </row>
    <row r="1078">
      <c r="A1078" s="217"/>
      <c r="B1078" s="164"/>
      <c r="C1078" s="160"/>
      <c r="D1078" s="160"/>
      <c r="E1078" s="218"/>
      <c r="H1078" s="171"/>
    </row>
    <row r="1079">
      <c r="A1079" s="217"/>
      <c r="B1079" s="164"/>
      <c r="C1079" s="160"/>
      <c r="D1079" s="160"/>
      <c r="E1079" s="218"/>
      <c r="H1079" s="171"/>
    </row>
    <row r="1080">
      <c r="A1080" s="217"/>
      <c r="B1080" s="164"/>
      <c r="C1080" s="160"/>
      <c r="D1080" s="160"/>
      <c r="E1080" s="218"/>
      <c r="H1080" s="171"/>
    </row>
    <row r="1081">
      <c r="A1081" s="217"/>
      <c r="B1081" s="164"/>
      <c r="C1081" s="160"/>
      <c r="D1081" s="160"/>
      <c r="E1081" s="218"/>
      <c r="H1081" s="171"/>
    </row>
    <row r="1082">
      <c r="A1082" s="217"/>
      <c r="B1082" s="164"/>
      <c r="C1082" s="160"/>
      <c r="D1082" s="160"/>
      <c r="E1082" s="218"/>
      <c r="H1082" s="171"/>
    </row>
    <row r="1083">
      <c r="A1083" s="217"/>
      <c r="B1083" s="164"/>
      <c r="C1083" s="160"/>
      <c r="D1083" s="160"/>
      <c r="E1083" s="218"/>
      <c r="H1083" s="171"/>
    </row>
    <row r="1084">
      <c r="A1084" s="217"/>
      <c r="B1084" s="164"/>
      <c r="C1084" s="160"/>
      <c r="D1084" s="160"/>
      <c r="E1084" s="218"/>
      <c r="H1084" s="171"/>
    </row>
    <row r="1085">
      <c r="A1085" s="217"/>
      <c r="B1085" s="164"/>
      <c r="C1085" s="160"/>
      <c r="D1085" s="160"/>
      <c r="E1085" s="218"/>
      <c r="H1085" s="171"/>
    </row>
    <row r="1086">
      <c r="A1086" s="217"/>
      <c r="B1086" s="164"/>
      <c r="C1086" s="160"/>
      <c r="D1086" s="160"/>
      <c r="E1086" s="218"/>
      <c r="H1086" s="171"/>
    </row>
    <row r="1087">
      <c r="A1087" s="217"/>
      <c r="B1087" s="164"/>
      <c r="C1087" s="160"/>
      <c r="D1087" s="160"/>
      <c r="E1087" s="218"/>
      <c r="H1087" s="171"/>
    </row>
    <row r="1088">
      <c r="A1088" s="217"/>
      <c r="B1088" s="164"/>
      <c r="C1088" s="160"/>
      <c r="D1088" s="160"/>
      <c r="E1088" s="218"/>
      <c r="H1088" s="171"/>
    </row>
    <row r="1089">
      <c r="A1089" s="217"/>
      <c r="B1089" s="164"/>
      <c r="C1089" s="160"/>
      <c r="D1089" s="160"/>
      <c r="E1089" s="218"/>
      <c r="H1089" s="171"/>
    </row>
    <row r="1090">
      <c r="A1090" s="217"/>
      <c r="B1090" s="164"/>
      <c r="C1090" s="160"/>
      <c r="D1090" s="160"/>
      <c r="E1090" s="218"/>
      <c r="H1090" s="171"/>
    </row>
    <row r="1091">
      <c r="A1091" s="217"/>
      <c r="B1091" s="164"/>
      <c r="C1091" s="160"/>
      <c r="D1091" s="160"/>
      <c r="E1091" s="218"/>
      <c r="H1091" s="171"/>
    </row>
    <row r="1092">
      <c r="A1092" s="217"/>
      <c r="B1092" s="164"/>
      <c r="C1092" s="160"/>
      <c r="D1092" s="160"/>
      <c r="E1092" s="218"/>
      <c r="H1092" s="171"/>
    </row>
    <row r="1093">
      <c r="A1093" s="217"/>
      <c r="B1093" s="164"/>
      <c r="C1093" s="160"/>
      <c r="D1093" s="160"/>
      <c r="E1093" s="218"/>
      <c r="H1093" s="171"/>
    </row>
    <row r="1094">
      <c r="A1094" s="217"/>
      <c r="B1094" s="164"/>
      <c r="C1094" s="160"/>
      <c r="D1094" s="160"/>
      <c r="E1094" s="218"/>
      <c r="H1094" s="171"/>
    </row>
    <row r="1095">
      <c r="A1095" s="217"/>
      <c r="B1095" s="164"/>
      <c r="C1095" s="160"/>
      <c r="D1095" s="160"/>
      <c r="E1095" s="218"/>
      <c r="H1095" s="171"/>
    </row>
    <row r="1096">
      <c r="A1096" s="217"/>
      <c r="B1096" s="164"/>
      <c r="C1096" s="160"/>
      <c r="D1096" s="160"/>
      <c r="E1096" s="218"/>
      <c r="H1096" s="171"/>
    </row>
    <row r="1097">
      <c r="A1097" s="217"/>
      <c r="B1097" s="164"/>
      <c r="C1097" s="160"/>
      <c r="D1097" s="160"/>
      <c r="E1097" s="218"/>
      <c r="H1097" s="171"/>
    </row>
    <row r="1098">
      <c r="A1098" s="217"/>
      <c r="B1098" s="164"/>
      <c r="C1098" s="160"/>
      <c r="D1098" s="160"/>
      <c r="E1098" s="218"/>
      <c r="H1098" s="171"/>
    </row>
    <row r="1099">
      <c r="A1099" s="217"/>
      <c r="B1099" s="164"/>
      <c r="C1099" s="160"/>
      <c r="D1099" s="160"/>
      <c r="E1099" s="218"/>
      <c r="H1099" s="171"/>
    </row>
    <row r="1100">
      <c r="A1100" s="217"/>
      <c r="B1100" s="164"/>
      <c r="C1100" s="160"/>
      <c r="D1100" s="160"/>
      <c r="E1100" s="218"/>
      <c r="H1100" s="171"/>
    </row>
    <row r="1101">
      <c r="A1101" s="217"/>
      <c r="B1101" s="164"/>
      <c r="C1101" s="160"/>
      <c r="D1101" s="160"/>
      <c r="E1101" s="218"/>
      <c r="H1101" s="171"/>
    </row>
    <row r="1102">
      <c r="A1102" s="217"/>
      <c r="B1102" s="164"/>
      <c r="C1102" s="160"/>
      <c r="D1102" s="160"/>
      <c r="E1102" s="218"/>
      <c r="H1102" s="171"/>
    </row>
    <row r="1103">
      <c r="A1103" s="217"/>
      <c r="B1103" s="164"/>
      <c r="C1103" s="160"/>
      <c r="D1103" s="160"/>
      <c r="E1103" s="218"/>
      <c r="H1103" s="171"/>
    </row>
    <row r="1104">
      <c r="A1104" s="217"/>
      <c r="B1104" s="164"/>
      <c r="C1104" s="160"/>
      <c r="D1104" s="160"/>
      <c r="E1104" s="218"/>
      <c r="H1104" s="171"/>
    </row>
    <row r="1105">
      <c r="A1105" s="217"/>
      <c r="B1105" s="164"/>
      <c r="C1105" s="160"/>
      <c r="D1105" s="160"/>
      <c r="E1105" s="218"/>
      <c r="H1105" s="171"/>
    </row>
    <row r="1106">
      <c r="A1106" s="217"/>
      <c r="B1106" s="164"/>
      <c r="C1106" s="160"/>
      <c r="D1106" s="160"/>
      <c r="E1106" s="218"/>
      <c r="H1106" s="171"/>
    </row>
    <row r="1107">
      <c r="A1107" s="217"/>
      <c r="B1107" s="164"/>
      <c r="C1107" s="160"/>
      <c r="D1107" s="160"/>
      <c r="E1107" s="218"/>
      <c r="H1107" s="171"/>
    </row>
    <row r="1108">
      <c r="A1108" s="217"/>
      <c r="B1108" s="164"/>
      <c r="C1108" s="160"/>
      <c r="D1108" s="160"/>
      <c r="E1108" s="218"/>
      <c r="H1108" s="171"/>
    </row>
    <row r="1109">
      <c r="A1109" s="217"/>
      <c r="B1109" s="164"/>
      <c r="C1109" s="160"/>
      <c r="D1109" s="160"/>
      <c r="E1109" s="218"/>
      <c r="H1109" s="171"/>
    </row>
    <row r="1110">
      <c r="A1110" s="217"/>
      <c r="B1110" s="164"/>
      <c r="C1110" s="160"/>
      <c r="D1110" s="160"/>
      <c r="E1110" s="218"/>
      <c r="H1110" s="171"/>
    </row>
    <row r="1111">
      <c r="A1111" s="217"/>
      <c r="B1111" s="164"/>
      <c r="C1111" s="160"/>
      <c r="D1111" s="160"/>
      <c r="E1111" s="218"/>
      <c r="H1111" s="171"/>
    </row>
    <row r="1112">
      <c r="A1112" s="217"/>
      <c r="B1112" s="164"/>
      <c r="C1112" s="160"/>
      <c r="D1112" s="160"/>
      <c r="E1112" s="218"/>
      <c r="H1112" s="171"/>
    </row>
    <row r="1113">
      <c r="A1113" s="217"/>
      <c r="B1113" s="164"/>
      <c r="C1113" s="160"/>
      <c r="D1113" s="160"/>
      <c r="E1113" s="218"/>
      <c r="H1113" s="171"/>
    </row>
    <row r="1114">
      <c r="A1114" s="217"/>
      <c r="B1114" s="164"/>
      <c r="C1114" s="160"/>
      <c r="D1114" s="160"/>
      <c r="E1114" s="218"/>
      <c r="H1114" s="171"/>
    </row>
    <row r="1115">
      <c r="A1115" s="217"/>
      <c r="B1115" s="164"/>
      <c r="C1115" s="160"/>
      <c r="D1115" s="160"/>
      <c r="E1115" s="218"/>
      <c r="H1115" s="171"/>
    </row>
    <row r="1116">
      <c r="A1116" s="217"/>
      <c r="B1116" s="164"/>
      <c r="C1116" s="160"/>
      <c r="D1116" s="160"/>
      <c r="E1116" s="218"/>
      <c r="H1116" s="171"/>
    </row>
    <row r="1117">
      <c r="A1117" s="217"/>
      <c r="B1117" s="164"/>
      <c r="C1117" s="160"/>
      <c r="D1117" s="160"/>
      <c r="E1117" s="218"/>
      <c r="H1117" s="171"/>
    </row>
    <row r="1118">
      <c r="A1118" s="217"/>
      <c r="B1118" s="164"/>
      <c r="C1118" s="160"/>
      <c r="D1118" s="160"/>
      <c r="E1118" s="218"/>
      <c r="H1118" s="171"/>
    </row>
    <row r="1119">
      <c r="A1119" s="217"/>
      <c r="B1119" s="164"/>
      <c r="C1119" s="160"/>
      <c r="D1119" s="160"/>
      <c r="E1119" s="218"/>
      <c r="H1119" s="171"/>
    </row>
    <row r="1120">
      <c r="A1120" s="217"/>
      <c r="B1120" s="164"/>
      <c r="C1120" s="160"/>
      <c r="D1120" s="160"/>
      <c r="E1120" s="218"/>
      <c r="H1120" s="171"/>
    </row>
    <row r="1121">
      <c r="A1121" s="217"/>
      <c r="B1121" s="164"/>
      <c r="C1121" s="160"/>
      <c r="D1121" s="160"/>
      <c r="E1121" s="218"/>
      <c r="H1121" s="171"/>
    </row>
    <row r="1122">
      <c r="A1122" s="217"/>
      <c r="B1122" s="164"/>
      <c r="C1122" s="160"/>
      <c r="D1122" s="160"/>
      <c r="E1122" s="218"/>
      <c r="H1122" s="171"/>
    </row>
    <row r="1123">
      <c r="A1123" s="217"/>
      <c r="B1123" s="164"/>
      <c r="C1123" s="160"/>
      <c r="D1123" s="160"/>
      <c r="E1123" s="218"/>
      <c r="H1123" s="171"/>
    </row>
    <row r="1124">
      <c r="A1124" s="217"/>
      <c r="B1124" s="164"/>
      <c r="C1124" s="160"/>
      <c r="D1124" s="160"/>
      <c r="E1124" s="218"/>
      <c r="H1124" s="171"/>
    </row>
    <row r="1125">
      <c r="A1125" s="217"/>
      <c r="B1125" s="164"/>
      <c r="C1125" s="160"/>
      <c r="D1125" s="160"/>
      <c r="E1125" s="218"/>
      <c r="H1125" s="171"/>
    </row>
    <row r="1126">
      <c r="A1126" s="217"/>
      <c r="B1126" s="164"/>
      <c r="C1126" s="160"/>
      <c r="D1126" s="160"/>
      <c r="E1126" s="218"/>
      <c r="H1126" s="171"/>
    </row>
    <row r="1127">
      <c r="A1127" s="217"/>
      <c r="B1127" s="164"/>
      <c r="C1127" s="160"/>
      <c r="D1127" s="160"/>
      <c r="E1127" s="218"/>
      <c r="H1127" s="171"/>
    </row>
    <row r="1128">
      <c r="A1128" s="217"/>
      <c r="B1128" s="164"/>
      <c r="C1128" s="160"/>
      <c r="D1128" s="160"/>
      <c r="E1128" s="218"/>
      <c r="H1128" s="171"/>
    </row>
    <row r="1129">
      <c r="A1129" s="217"/>
      <c r="B1129" s="164"/>
      <c r="C1129" s="160"/>
      <c r="D1129" s="160"/>
      <c r="E1129" s="218"/>
      <c r="H1129" s="171"/>
    </row>
    <row r="1130">
      <c r="A1130" s="217"/>
      <c r="B1130" s="164"/>
      <c r="C1130" s="160"/>
      <c r="D1130" s="160"/>
      <c r="E1130" s="218"/>
      <c r="H1130" s="171"/>
    </row>
    <row r="1131">
      <c r="A1131" s="217"/>
      <c r="B1131" s="164"/>
      <c r="C1131" s="160"/>
      <c r="D1131" s="160"/>
      <c r="E1131" s="218"/>
      <c r="H1131" s="171"/>
    </row>
    <row r="1132">
      <c r="A1132" s="217"/>
      <c r="B1132" s="164"/>
      <c r="C1132" s="160"/>
      <c r="D1132" s="160"/>
      <c r="E1132" s="218"/>
      <c r="H1132" s="171"/>
    </row>
    <row r="1133">
      <c r="A1133" s="217"/>
      <c r="B1133" s="164"/>
      <c r="C1133" s="160"/>
      <c r="D1133" s="160"/>
      <c r="E1133" s="218"/>
      <c r="H1133" s="171"/>
    </row>
    <row r="1134">
      <c r="A1134" s="217"/>
      <c r="B1134" s="164"/>
      <c r="C1134" s="160"/>
      <c r="D1134" s="160"/>
      <c r="E1134" s="218"/>
      <c r="H1134" s="171"/>
    </row>
    <row r="1135">
      <c r="A1135" s="217"/>
      <c r="B1135" s="164"/>
      <c r="C1135" s="160"/>
      <c r="D1135" s="160"/>
      <c r="E1135" s="218"/>
      <c r="H1135" s="171"/>
    </row>
    <row r="1136">
      <c r="A1136" s="217"/>
      <c r="B1136" s="164"/>
      <c r="C1136" s="160"/>
      <c r="D1136" s="160"/>
      <c r="E1136" s="218"/>
      <c r="H1136" s="171"/>
    </row>
    <row r="1137">
      <c r="A1137" s="217"/>
      <c r="B1137" s="164"/>
      <c r="C1137" s="160"/>
      <c r="D1137" s="160"/>
      <c r="E1137" s="218"/>
      <c r="H1137" s="171"/>
    </row>
    <row r="1138">
      <c r="A1138" s="217"/>
      <c r="B1138" s="164"/>
      <c r="C1138" s="160"/>
      <c r="D1138" s="160"/>
      <c r="E1138" s="218"/>
      <c r="H1138" s="171"/>
    </row>
    <row r="1139">
      <c r="A1139" s="217"/>
      <c r="B1139" s="164"/>
      <c r="C1139" s="160"/>
      <c r="D1139" s="160"/>
      <c r="E1139" s="218"/>
      <c r="H1139" s="171"/>
    </row>
    <row r="1140">
      <c r="A1140" s="217"/>
      <c r="B1140" s="164"/>
      <c r="C1140" s="160"/>
      <c r="D1140" s="160"/>
      <c r="E1140" s="218"/>
      <c r="H1140" s="171"/>
    </row>
    <row r="1141">
      <c r="A1141" s="217"/>
      <c r="B1141" s="164"/>
      <c r="C1141" s="160"/>
      <c r="D1141" s="160"/>
      <c r="E1141" s="218"/>
      <c r="H1141" s="171"/>
    </row>
    <row r="1142">
      <c r="A1142" s="217"/>
      <c r="B1142" s="164"/>
      <c r="C1142" s="160"/>
      <c r="D1142" s="160"/>
      <c r="E1142" s="218"/>
      <c r="H1142" s="171"/>
    </row>
    <row r="1143">
      <c r="A1143" s="217"/>
      <c r="B1143" s="164"/>
      <c r="C1143" s="160"/>
      <c r="D1143" s="160"/>
      <c r="E1143" s="218"/>
      <c r="H1143" s="171"/>
    </row>
    <row r="1144">
      <c r="A1144" s="217"/>
      <c r="B1144" s="164"/>
      <c r="C1144" s="160"/>
      <c r="D1144" s="160"/>
      <c r="E1144" s="218"/>
      <c r="H1144" s="171"/>
    </row>
    <row r="1145">
      <c r="A1145" s="217"/>
      <c r="B1145" s="164"/>
      <c r="C1145" s="160"/>
      <c r="D1145" s="160"/>
      <c r="E1145" s="218"/>
      <c r="H1145" s="171"/>
    </row>
    <row r="1146">
      <c r="A1146" s="217"/>
      <c r="B1146" s="164"/>
      <c r="C1146" s="160"/>
      <c r="D1146" s="160"/>
      <c r="E1146" s="218"/>
      <c r="H1146" s="171"/>
    </row>
    <row r="1147">
      <c r="A1147" s="217"/>
      <c r="B1147" s="164"/>
      <c r="C1147" s="160"/>
      <c r="D1147" s="160"/>
      <c r="E1147" s="218"/>
      <c r="H1147" s="171"/>
    </row>
    <row r="1148">
      <c r="A1148" s="217"/>
      <c r="B1148" s="164"/>
      <c r="C1148" s="160"/>
      <c r="D1148" s="160"/>
      <c r="E1148" s="218"/>
      <c r="H1148" s="171"/>
    </row>
    <row r="1149">
      <c r="A1149" s="217"/>
      <c r="B1149" s="164"/>
      <c r="C1149" s="160"/>
      <c r="D1149" s="160"/>
      <c r="E1149" s="218"/>
      <c r="H1149" s="171"/>
    </row>
    <row r="1150">
      <c r="A1150" s="217"/>
      <c r="B1150" s="164"/>
      <c r="C1150" s="160"/>
      <c r="D1150" s="160"/>
      <c r="E1150" s="218"/>
      <c r="H1150" s="171"/>
    </row>
    <row r="1151">
      <c r="A1151" s="217"/>
      <c r="B1151" s="164"/>
      <c r="C1151" s="160"/>
      <c r="D1151" s="160"/>
      <c r="E1151" s="218"/>
      <c r="H1151" s="171"/>
    </row>
    <row r="1152">
      <c r="A1152" s="217"/>
      <c r="B1152" s="164"/>
      <c r="C1152" s="160"/>
      <c r="D1152" s="160"/>
      <c r="E1152" s="218"/>
      <c r="H1152" s="171"/>
    </row>
    <row r="1153">
      <c r="A1153" s="217"/>
      <c r="B1153" s="164"/>
      <c r="C1153" s="160"/>
      <c r="D1153" s="160"/>
      <c r="E1153" s="218"/>
      <c r="H1153" s="171"/>
    </row>
    <row r="1154">
      <c r="A1154" s="217"/>
      <c r="B1154" s="164"/>
      <c r="C1154" s="160"/>
      <c r="D1154" s="160"/>
      <c r="E1154" s="218"/>
      <c r="H1154" s="171"/>
    </row>
    <row r="1155">
      <c r="A1155" s="217"/>
      <c r="B1155" s="164"/>
      <c r="C1155" s="160"/>
      <c r="D1155" s="160"/>
      <c r="E1155" s="218"/>
      <c r="H1155" s="171"/>
    </row>
    <row r="1156">
      <c r="A1156" s="217"/>
      <c r="B1156" s="164"/>
      <c r="C1156" s="160"/>
      <c r="D1156" s="160"/>
      <c r="E1156" s="218"/>
      <c r="H1156" s="171"/>
    </row>
    <row r="1157">
      <c r="A1157" s="217"/>
      <c r="B1157" s="164"/>
      <c r="C1157" s="160"/>
      <c r="D1157" s="160"/>
      <c r="E1157" s="218"/>
      <c r="H1157" s="171"/>
    </row>
    <row r="1158">
      <c r="A1158" s="217"/>
      <c r="B1158" s="164"/>
      <c r="C1158" s="160"/>
      <c r="D1158" s="160"/>
      <c r="E1158" s="218"/>
      <c r="H1158" s="171"/>
    </row>
    <row r="1159">
      <c r="A1159" s="217"/>
      <c r="B1159" s="164"/>
      <c r="C1159" s="160"/>
      <c r="D1159" s="160"/>
      <c r="E1159" s="218"/>
      <c r="H1159" s="171"/>
    </row>
    <row r="1160">
      <c r="A1160" s="217"/>
      <c r="B1160" s="164"/>
      <c r="C1160" s="160"/>
      <c r="D1160" s="160"/>
      <c r="E1160" s="218"/>
      <c r="H1160" s="171"/>
    </row>
    <row r="1161">
      <c r="A1161" s="217"/>
      <c r="B1161" s="164"/>
      <c r="C1161" s="160"/>
      <c r="D1161" s="160"/>
      <c r="E1161" s="218"/>
      <c r="H1161" s="171"/>
    </row>
    <row r="1162">
      <c r="A1162" s="217"/>
      <c r="B1162" s="164"/>
      <c r="C1162" s="160"/>
      <c r="D1162" s="160"/>
      <c r="E1162" s="218"/>
      <c r="H1162" s="171"/>
    </row>
    <row r="1163">
      <c r="A1163" s="217"/>
      <c r="B1163" s="164"/>
      <c r="C1163" s="160"/>
      <c r="D1163" s="160"/>
      <c r="E1163" s="218"/>
      <c r="H1163" s="171"/>
    </row>
    <row r="1164">
      <c r="A1164" s="217"/>
      <c r="B1164" s="164"/>
      <c r="C1164" s="160"/>
      <c r="D1164" s="160"/>
      <c r="E1164" s="218"/>
      <c r="H1164" s="171"/>
    </row>
    <row r="1165">
      <c r="A1165" s="217"/>
      <c r="B1165" s="164"/>
      <c r="C1165" s="160"/>
      <c r="D1165" s="160"/>
      <c r="E1165" s="218"/>
      <c r="H1165" s="171"/>
    </row>
    <row r="1166">
      <c r="A1166" s="217"/>
      <c r="B1166" s="164"/>
      <c r="C1166" s="160"/>
      <c r="D1166" s="160"/>
      <c r="E1166" s="218"/>
      <c r="H1166" s="171"/>
    </row>
    <row r="1167">
      <c r="A1167" s="217"/>
      <c r="B1167" s="164"/>
      <c r="C1167" s="160"/>
      <c r="D1167" s="160"/>
      <c r="E1167" s="218"/>
      <c r="H1167" s="171"/>
    </row>
    <row r="1168">
      <c r="A1168" s="217"/>
      <c r="B1168" s="164"/>
      <c r="C1168" s="160"/>
      <c r="D1168" s="160"/>
      <c r="E1168" s="218"/>
      <c r="H1168" s="171"/>
    </row>
    <row r="1169">
      <c r="A1169" s="217"/>
      <c r="B1169" s="164"/>
      <c r="C1169" s="160"/>
      <c r="D1169" s="160"/>
      <c r="E1169" s="218"/>
      <c r="H1169" s="171"/>
    </row>
    <row r="1170">
      <c r="A1170" s="217"/>
      <c r="B1170" s="164"/>
      <c r="C1170" s="160"/>
      <c r="D1170" s="160"/>
      <c r="E1170" s="218"/>
      <c r="H1170" s="171"/>
    </row>
    <row r="1171">
      <c r="A1171" s="217"/>
      <c r="B1171" s="164"/>
      <c r="C1171" s="160"/>
      <c r="D1171" s="160"/>
      <c r="E1171" s="218"/>
      <c r="H1171" s="171"/>
    </row>
    <row r="1172">
      <c r="A1172" s="217"/>
      <c r="B1172" s="164"/>
      <c r="C1172" s="160"/>
      <c r="D1172" s="160"/>
      <c r="E1172" s="218"/>
      <c r="H1172" s="171"/>
    </row>
    <row r="1173">
      <c r="A1173" s="217"/>
      <c r="B1173" s="164"/>
      <c r="C1173" s="160"/>
      <c r="D1173" s="160"/>
      <c r="E1173" s="218"/>
      <c r="H1173" s="171"/>
    </row>
    <row r="1174">
      <c r="A1174" s="217"/>
      <c r="B1174" s="164"/>
      <c r="C1174" s="160"/>
      <c r="D1174" s="160"/>
      <c r="E1174" s="218"/>
      <c r="H1174" s="171"/>
    </row>
    <row r="1175">
      <c r="A1175" s="217"/>
      <c r="B1175" s="164"/>
      <c r="C1175" s="160"/>
      <c r="D1175" s="160"/>
      <c r="E1175" s="218"/>
      <c r="H1175" s="171"/>
    </row>
    <row r="1176">
      <c r="A1176" s="217"/>
      <c r="B1176" s="164"/>
      <c r="C1176" s="160"/>
      <c r="D1176" s="160"/>
      <c r="E1176" s="218"/>
      <c r="H1176" s="171"/>
    </row>
    <row r="1177">
      <c r="A1177" s="217"/>
      <c r="B1177" s="164"/>
      <c r="C1177" s="160"/>
      <c r="D1177" s="160"/>
      <c r="E1177" s="218"/>
      <c r="H1177" s="171"/>
    </row>
    <row r="1178">
      <c r="A1178" s="217"/>
      <c r="B1178" s="164"/>
      <c r="C1178" s="160"/>
      <c r="D1178" s="160"/>
      <c r="E1178" s="218"/>
      <c r="H1178" s="171"/>
    </row>
    <row r="1179">
      <c r="A1179" s="217"/>
      <c r="B1179" s="164"/>
      <c r="C1179" s="160"/>
      <c r="D1179" s="160"/>
      <c r="E1179" s="218"/>
      <c r="H1179" s="171"/>
    </row>
    <row r="1180">
      <c r="A1180" s="217"/>
      <c r="B1180" s="164"/>
      <c r="C1180" s="160"/>
      <c r="D1180" s="160"/>
      <c r="E1180" s="218"/>
      <c r="H1180" s="171"/>
    </row>
    <row r="1181">
      <c r="A1181" s="217"/>
      <c r="B1181" s="164"/>
      <c r="C1181" s="160"/>
      <c r="D1181" s="160"/>
      <c r="E1181" s="218"/>
      <c r="H1181" s="171"/>
    </row>
    <row r="1182">
      <c r="A1182" s="217"/>
      <c r="B1182" s="164"/>
      <c r="C1182" s="160"/>
      <c r="D1182" s="160"/>
      <c r="E1182" s="218"/>
      <c r="H1182" s="171"/>
    </row>
    <row r="1183">
      <c r="A1183" s="217"/>
      <c r="B1183" s="164"/>
      <c r="C1183" s="160"/>
      <c r="D1183" s="160"/>
      <c r="E1183" s="218"/>
      <c r="H1183" s="171"/>
    </row>
    <row r="1184">
      <c r="A1184" s="217"/>
      <c r="B1184" s="164"/>
      <c r="C1184" s="160"/>
      <c r="D1184" s="160"/>
      <c r="E1184" s="218"/>
      <c r="H1184" s="171"/>
    </row>
    <row r="1185">
      <c r="A1185" s="217"/>
      <c r="B1185" s="164"/>
      <c r="C1185" s="160"/>
      <c r="D1185" s="160"/>
      <c r="E1185" s="218"/>
      <c r="H1185" s="171"/>
    </row>
    <row r="1186">
      <c r="A1186" s="217"/>
      <c r="B1186" s="164"/>
      <c r="C1186" s="160"/>
      <c r="D1186" s="160"/>
      <c r="E1186" s="218"/>
      <c r="H1186" s="171"/>
    </row>
    <row r="1187">
      <c r="A1187" s="217"/>
      <c r="B1187" s="164"/>
      <c r="C1187" s="160"/>
      <c r="D1187" s="160"/>
      <c r="E1187" s="218"/>
      <c r="H1187" s="171"/>
    </row>
    <row r="1188">
      <c r="A1188" s="217"/>
      <c r="B1188" s="164"/>
      <c r="C1188" s="160"/>
      <c r="D1188" s="160"/>
      <c r="E1188" s="218"/>
      <c r="H1188" s="171"/>
    </row>
    <row r="1189">
      <c r="A1189" s="217"/>
      <c r="B1189" s="164"/>
      <c r="C1189" s="160"/>
      <c r="D1189" s="160"/>
      <c r="E1189" s="218"/>
      <c r="H1189" s="171"/>
    </row>
    <row r="1190">
      <c r="A1190" s="217"/>
      <c r="B1190" s="164"/>
      <c r="C1190" s="160"/>
      <c r="D1190" s="160"/>
      <c r="E1190" s="218"/>
      <c r="H1190" s="171"/>
    </row>
    <row r="1191">
      <c r="A1191" s="217"/>
      <c r="B1191" s="164"/>
      <c r="C1191" s="160"/>
      <c r="D1191" s="160"/>
      <c r="E1191" s="218"/>
      <c r="H1191" s="171"/>
    </row>
    <row r="1192">
      <c r="A1192" s="217"/>
      <c r="B1192" s="164"/>
      <c r="C1192" s="160"/>
      <c r="D1192" s="160"/>
      <c r="E1192" s="218"/>
      <c r="H1192" s="171"/>
    </row>
    <row r="1193">
      <c r="A1193" s="217"/>
      <c r="B1193" s="164"/>
      <c r="C1193" s="160"/>
      <c r="D1193" s="160"/>
      <c r="E1193" s="218"/>
      <c r="H1193" s="171"/>
    </row>
    <row r="1194">
      <c r="A1194" s="217"/>
      <c r="B1194" s="164"/>
      <c r="C1194" s="160"/>
      <c r="D1194" s="160"/>
      <c r="E1194" s="218"/>
      <c r="H1194" s="171"/>
    </row>
    <row r="1195">
      <c r="A1195" s="217"/>
      <c r="B1195" s="164"/>
      <c r="C1195" s="160"/>
      <c r="D1195" s="160"/>
      <c r="E1195" s="218"/>
      <c r="H1195" s="171"/>
    </row>
    <row r="1196">
      <c r="A1196" s="217"/>
      <c r="B1196" s="164"/>
      <c r="C1196" s="160"/>
      <c r="D1196" s="160"/>
      <c r="E1196" s="218"/>
      <c r="H1196" s="171"/>
    </row>
    <row r="1197">
      <c r="A1197" s="217"/>
      <c r="B1197" s="164"/>
      <c r="C1197" s="160"/>
      <c r="D1197" s="160"/>
      <c r="E1197" s="218"/>
      <c r="H1197" s="171"/>
    </row>
    <row r="1198">
      <c r="A1198" s="217"/>
      <c r="B1198" s="164"/>
      <c r="C1198" s="160"/>
      <c r="D1198" s="160"/>
      <c r="E1198" s="218"/>
      <c r="H1198" s="171"/>
    </row>
    <row r="1199">
      <c r="A1199" s="217"/>
      <c r="B1199" s="164"/>
      <c r="C1199" s="160"/>
      <c r="D1199" s="160"/>
      <c r="E1199" s="218"/>
      <c r="H1199" s="171"/>
    </row>
    <row r="1200">
      <c r="A1200" s="217"/>
      <c r="B1200" s="164"/>
      <c r="C1200" s="160"/>
      <c r="D1200" s="160"/>
      <c r="E1200" s="218"/>
      <c r="H1200" s="171"/>
    </row>
    <row r="1201">
      <c r="A1201" s="217"/>
      <c r="B1201" s="164"/>
      <c r="C1201" s="160"/>
      <c r="D1201" s="160"/>
      <c r="E1201" s="218"/>
      <c r="H1201" s="171"/>
    </row>
    <row r="1202">
      <c r="A1202" s="217"/>
      <c r="B1202" s="164"/>
      <c r="C1202" s="160"/>
      <c r="D1202" s="160"/>
      <c r="E1202" s="218"/>
      <c r="H1202" s="171"/>
    </row>
    <row r="1203">
      <c r="A1203" s="217"/>
      <c r="B1203" s="164"/>
      <c r="C1203" s="160"/>
      <c r="D1203" s="160"/>
      <c r="E1203" s="218"/>
      <c r="H1203" s="171"/>
    </row>
    <row r="1204">
      <c r="A1204" s="217"/>
      <c r="B1204" s="164"/>
      <c r="C1204" s="160"/>
      <c r="D1204" s="160"/>
      <c r="E1204" s="218"/>
      <c r="H1204" s="171"/>
    </row>
    <row r="1205">
      <c r="A1205" s="217"/>
      <c r="B1205" s="164"/>
      <c r="C1205" s="160"/>
      <c r="D1205" s="160"/>
      <c r="E1205" s="218"/>
      <c r="H1205" s="171"/>
    </row>
    <row r="1206">
      <c r="A1206" s="217"/>
      <c r="B1206" s="164"/>
      <c r="C1206" s="160"/>
      <c r="D1206" s="160"/>
      <c r="E1206" s="218"/>
      <c r="H1206" s="171"/>
    </row>
    <row r="1207">
      <c r="A1207" s="217"/>
      <c r="B1207" s="164"/>
      <c r="C1207" s="160"/>
      <c r="D1207" s="160"/>
      <c r="E1207" s="218"/>
      <c r="H1207" s="171"/>
    </row>
    <row r="1208">
      <c r="A1208" s="217"/>
      <c r="B1208" s="164"/>
      <c r="C1208" s="160"/>
      <c r="D1208" s="160"/>
      <c r="E1208" s="218"/>
      <c r="H1208" s="171"/>
    </row>
    <row r="1209">
      <c r="A1209" s="217"/>
      <c r="B1209" s="164"/>
      <c r="C1209" s="160"/>
      <c r="D1209" s="160"/>
      <c r="E1209" s="218"/>
      <c r="H1209" s="171"/>
    </row>
    <row r="1210">
      <c r="A1210" s="217"/>
      <c r="B1210" s="164"/>
      <c r="C1210" s="160"/>
      <c r="D1210" s="160"/>
      <c r="E1210" s="218"/>
      <c r="H1210" s="171"/>
    </row>
    <row r="1211">
      <c r="A1211" s="217"/>
      <c r="B1211" s="164"/>
      <c r="C1211" s="160"/>
      <c r="D1211" s="160"/>
      <c r="E1211" s="218"/>
      <c r="H1211" s="171"/>
    </row>
    <row r="1212">
      <c r="A1212" s="217"/>
      <c r="B1212" s="164"/>
      <c r="C1212" s="160"/>
      <c r="D1212" s="160"/>
      <c r="E1212" s="218"/>
      <c r="H1212" s="171"/>
    </row>
    <row r="1213">
      <c r="A1213" s="217"/>
      <c r="B1213" s="164"/>
      <c r="C1213" s="160"/>
      <c r="D1213" s="160"/>
      <c r="E1213" s="218"/>
      <c r="H1213" s="171"/>
    </row>
    <row r="1214">
      <c r="A1214" s="217"/>
      <c r="B1214" s="164"/>
      <c r="C1214" s="160"/>
      <c r="D1214" s="160"/>
      <c r="E1214" s="218"/>
      <c r="H1214" s="171"/>
    </row>
    <row r="1215">
      <c r="A1215" s="217"/>
      <c r="B1215" s="164"/>
      <c r="C1215" s="160"/>
      <c r="D1215" s="160"/>
      <c r="E1215" s="218"/>
      <c r="H1215" s="171"/>
    </row>
    <row r="1216">
      <c r="A1216" s="217"/>
      <c r="B1216" s="164"/>
      <c r="C1216" s="160"/>
      <c r="D1216" s="160"/>
      <c r="E1216" s="218"/>
      <c r="H1216" s="171"/>
    </row>
    <row r="1217">
      <c r="A1217" s="217"/>
      <c r="B1217" s="164"/>
      <c r="C1217" s="160"/>
      <c r="D1217" s="160"/>
      <c r="E1217" s="218"/>
      <c r="H1217" s="171"/>
    </row>
    <row r="1218">
      <c r="A1218" s="217"/>
      <c r="B1218" s="164"/>
      <c r="C1218" s="160"/>
      <c r="D1218" s="160"/>
      <c r="E1218" s="218"/>
      <c r="H1218" s="171"/>
    </row>
    <row r="1219">
      <c r="A1219" s="217"/>
      <c r="B1219" s="164"/>
      <c r="C1219" s="160"/>
      <c r="D1219" s="160"/>
      <c r="E1219" s="218"/>
      <c r="H1219" s="171"/>
    </row>
    <row r="1220">
      <c r="A1220" s="217"/>
      <c r="B1220" s="164"/>
      <c r="C1220" s="160"/>
      <c r="D1220" s="160"/>
      <c r="E1220" s="218"/>
      <c r="H1220" s="171"/>
    </row>
    <row r="1221">
      <c r="A1221" s="217"/>
      <c r="B1221" s="164"/>
      <c r="C1221" s="160"/>
      <c r="D1221" s="160"/>
      <c r="E1221" s="218"/>
      <c r="H1221" s="171"/>
    </row>
    <row r="1222">
      <c r="A1222" s="217"/>
      <c r="B1222" s="164"/>
      <c r="C1222" s="160"/>
      <c r="D1222" s="160"/>
      <c r="E1222" s="218"/>
      <c r="H1222" s="171"/>
    </row>
    <row r="1223">
      <c r="A1223" s="217"/>
      <c r="B1223" s="164"/>
      <c r="C1223" s="160"/>
      <c r="D1223" s="160"/>
      <c r="E1223" s="218"/>
      <c r="H1223" s="171"/>
    </row>
    <row r="1224">
      <c r="A1224" s="217"/>
      <c r="B1224" s="164"/>
      <c r="C1224" s="160"/>
      <c r="D1224" s="160"/>
      <c r="E1224" s="218"/>
      <c r="H1224" s="171"/>
    </row>
    <row r="1225">
      <c r="A1225" s="217"/>
      <c r="B1225" s="164"/>
      <c r="C1225" s="160"/>
      <c r="D1225" s="160"/>
      <c r="E1225" s="218"/>
      <c r="H1225" s="171"/>
    </row>
    <row r="1226">
      <c r="A1226" s="217"/>
      <c r="B1226" s="164"/>
      <c r="C1226" s="160"/>
      <c r="D1226" s="160"/>
      <c r="E1226" s="218"/>
      <c r="H1226" s="171"/>
    </row>
    <row r="1227">
      <c r="A1227" s="217"/>
      <c r="B1227" s="164"/>
      <c r="C1227" s="160"/>
      <c r="D1227" s="160"/>
      <c r="E1227" s="218"/>
      <c r="H1227" s="171"/>
    </row>
    <row r="1228">
      <c r="A1228" s="217"/>
      <c r="B1228" s="164"/>
      <c r="C1228" s="160"/>
      <c r="D1228" s="160"/>
      <c r="E1228" s="218"/>
      <c r="H1228" s="171"/>
    </row>
    <row r="1229">
      <c r="A1229" s="217"/>
      <c r="B1229" s="164"/>
      <c r="C1229" s="160"/>
      <c r="D1229" s="160"/>
      <c r="E1229" s="218"/>
      <c r="H1229" s="171"/>
    </row>
    <row r="1230">
      <c r="A1230" s="217"/>
      <c r="B1230" s="164"/>
      <c r="C1230" s="160"/>
      <c r="D1230" s="160"/>
      <c r="E1230" s="218"/>
      <c r="H1230" s="171"/>
    </row>
    <row r="1231">
      <c r="A1231" s="217"/>
      <c r="B1231" s="164"/>
      <c r="C1231" s="160"/>
      <c r="D1231" s="160"/>
      <c r="E1231" s="218"/>
      <c r="H1231" s="171"/>
    </row>
    <row r="1232">
      <c r="A1232" s="217"/>
      <c r="B1232" s="164"/>
      <c r="C1232" s="160"/>
      <c r="D1232" s="160"/>
      <c r="E1232" s="218"/>
      <c r="H1232" s="171"/>
    </row>
    <row r="1233">
      <c r="A1233" s="217"/>
      <c r="B1233" s="164"/>
      <c r="C1233" s="160"/>
      <c r="D1233" s="160"/>
      <c r="E1233" s="218"/>
      <c r="H1233" s="171"/>
    </row>
    <row r="1234">
      <c r="A1234" s="217"/>
      <c r="B1234" s="164"/>
      <c r="C1234" s="160"/>
      <c r="D1234" s="160"/>
      <c r="E1234" s="218"/>
      <c r="H1234" s="171"/>
    </row>
    <row r="1235">
      <c r="A1235" s="217"/>
      <c r="B1235" s="164"/>
      <c r="C1235" s="160"/>
      <c r="D1235" s="160"/>
      <c r="E1235" s="218"/>
      <c r="H1235" s="171"/>
    </row>
    <row r="1236">
      <c r="A1236" s="217"/>
      <c r="B1236" s="164"/>
      <c r="C1236" s="160"/>
      <c r="D1236" s="160"/>
      <c r="E1236" s="218"/>
      <c r="H1236" s="171"/>
    </row>
    <row r="1237">
      <c r="A1237" s="217"/>
      <c r="B1237" s="164"/>
      <c r="C1237" s="160"/>
      <c r="D1237" s="160"/>
      <c r="E1237" s="218"/>
      <c r="H1237" s="171"/>
    </row>
    <row r="1238">
      <c r="A1238" s="217"/>
      <c r="B1238" s="164"/>
      <c r="C1238" s="160"/>
      <c r="D1238" s="160"/>
      <c r="E1238" s="218"/>
      <c r="H1238" s="171"/>
    </row>
    <row r="1239">
      <c r="A1239" s="217"/>
      <c r="B1239" s="164"/>
      <c r="C1239" s="160"/>
      <c r="D1239" s="160"/>
      <c r="E1239" s="218"/>
      <c r="H1239" s="171"/>
    </row>
    <row r="1240">
      <c r="A1240" s="217"/>
      <c r="B1240" s="164"/>
      <c r="C1240" s="160"/>
      <c r="D1240" s="160"/>
      <c r="E1240" s="218"/>
      <c r="H1240" s="171"/>
    </row>
    <row r="1241">
      <c r="A1241" s="217"/>
      <c r="B1241" s="164"/>
      <c r="C1241" s="160"/>
      <c r="D1241" s="160"/>
      <c r="E1241" s="218"/>
      <c r="H1241" s="171"/>
    </row>
    <row r="1242">
      <c r="A1242" s="217"/>
      <c r="B1242" s="164"/>
      <c r="C1242" s="160"/>
      <c r="D1242" s="160"/>
      <c r="E1242" s="218"/>
      <c r="H1242" s="171"/>
    </row>
    <row r="1243">
      <c r="A1243" s="217"/>
      <c r="B1243" s="164"/>
      <c r="C1243" s="160"/>
      <c r="D1243" s="160"/>
      <c r="E1243" s="218"/>
      <c r="H1243" s="171"/>
    </row>
    <row r="1244">
      <c r="A1244" s="217"/>
      <c r="B1244" s="164"/>
      <c r="C1244" s="160"/>
      <c r="D1244" s="160"/>
      <c r="E1244" s="218"/>
      <c r="H1244" s="171"/>
    </row>
    <row r="1245">
      <c r="A1245" s="217"/>
      <c r="B1245" s="164"/>
      <c r="C1245" s="160"/>
      <c r="D1245" s="160"/>
      <c r="E1245" s="218"/>
      <c r="H1245" s="171"/>
    </row>
    <row r="1246">
      <c r="A1246" s="217"/>
      <c r="B1246" s="164"/>
      <c r="C1246" s="160"/>
      <c r="D1246" s="160"/>
      <c r="E1246" s="218"/>
      <c r="H1246" s="171"/>
    </row>
    <row r="1247">
      <c r="A1247" s="217"/>
      <c r="B1247" s="164"/>
      <c r="C1247" s="160"/>
      <c r="D1247" s="160"/>
      <c r="E1247" s="218"/>
      <c r="H1247" s="171"/>
    </row>
    <row r="1248">
      <c r="A1248" s="217"/>
      <c r="B1248" s="164"/>
      <c r="C1248" s="160"/>
      <c r="D1248" s="160"/>
      <c r="E1248" s="218"/>
      <c r="H1248" s="171"/>
    </row>
    <row r="1249">
      <c r="A1249" s="217"/>
      <c r="B1249" s="164"/>
      <c r="C1249" s="160"/>
      <c r="D1249" s="160"/>
      <c r="E1249" s="218"/>
      <c r="H1249" s="171"/>
    </row>
    <row r="1250">
      <c r="A1250" s="217"/>
      <c r="B1250" s="164"/>
      <c r="C1250" s="160"/>
      <c r="D1250" s="160"/>
      <c r="E1250" s="218"/>
      <c r="H1250" s="171"/>
    </row>
    <row r="1251">
      <c r="A1251" s="217"/>
      <c r="B1251" s="164"/>
      <c r="C1251" s="160"/>
      <c r="D1251" s="160"/>
      <c r="E1251" s="218"/>
      <c r="H1251" s="171"/>
    </row>
    <row r="1252">
      <c r="A1252" s="217"/>
      <c r="B1252" s="164"/>
      <c r="C1252" s="160"/>
      <c r="D1252" s="160"/>
      <c r="E1252" s="218"/>
      <c r="H1252" s="171"/>
    </row>
    <row r="1253">
      <c r="A1253" s="217"/>
      <c r="B1253" s="164"/>
      <c r="C1253" s="160"/>
      <c r="D1253" s="160"/>
      <c r="E1253" s="218"/>
      <c r="H1253" s="171"/>
    </row>
    <row r="1254">
      <c r="A1254" s="217"/>
      <c r="B1254" s="164"/>
      <c r="C1254" s="160"/>
      <c r="D1254" s="160"/>
      <c r="E1254" s="218"/>
      <c r="H1254" s="171"/>
    </row>
    <row r="1255">
      <c r="A1255" s="217"/>
      <c r="B1255" s="164"/>
      <c r="C1255" s="160"/>
      <c r="D1255" s="160"/>
      <c r="E1255" s="218"/>
      <c r="H1255" s="171"/>
    </row>
    <row r="1256">
      <c r="A1256" s="217"/>
      <c r="B1256" s="164"/>
      <c r="C1256" s="160"/>
      <c r="D1256" s="160"/>
      <c r="E1256" s="218"/>
      <c r="H1256" s="171"/>
    </row>
    <row r="1257">
      <c r="A1257" s="217"/>
      <c r="B1257" s="164"/>
      <c r="C1257" s="160"/>
      <c r="D1257" s="160"/>
      <c r="E1257" s="218"/>
      <c r="H1257" s="171"/>
    </row>
    <row r="1258">
      <c r="A1258" s="217"/>
      <c r="B1258" s="164"/>
      <c r="C1258" s="160"/>
      <c r="D1258" s="160"/>
      <c r="E1258" s="218"/>
      <c r="H1258" s="171"/>
    </row>
    <row r="1259">
      <c r="A1259" s="217"/>
      <c r="B1259" s="164"/>
      <c r="C1259" s="160"/>
      <c r="D1259" s="160"/>
      <c r="E1259" s="218"/>
      <c r="H1259" s="171"/>
    </row>
    <row r="1260">
      <c r="A1260" s="217"/>
      <c r="B1260" s="164"/>
      <c r="C1260" s="160"/>
      <c r="D1260" s="160"/>
      <c r="E1260" s="218"/>
      <c r="H1260" s="171"/>
    </row>
    <row r="1261">
      <c r="A1261" s="217"/>
      <c r="B1261" s="164"/>
      <c r="C1261" s="160"/>
      <c r="D1261" s="160"/>
      <c r="E1261" s="218"/>
      <c r="H1261" s="171"/>
    </row>
    <row r="1262">
      <c r="A1262" s="217"/>
      <c r="B1262" s="164"/>
      <c r="C1262" s="160"/>
      <c r="D1262" s="160"/>
      <c r="E1262" s="218"/>
      <c r="H1262" s="171"/>
    </row>
    <row r="1263">
      <c r="A1263" s="217"/>
      <c r="B1263" s="164"/>
      <c r="C1263" s="160"/>
      <c r="D1263" s="160"/>
      <c r="E1263" s="218"/>
      <c r="H1263" s="171"/>
    </row>
    <row r="1264">
      <c r="A1264" s="217"/>
      <c r="B1264" s="164"/>
      <c r="C1264" s="160"/>
      <c r="D1264" s="160"/>
      <c r="E1264" s="218"/>
      <c r="H1264" s="171"/>
    </row>
    <row r="1265">
      <c r="A1265" s="217"/>
      <c r="B1265" s="164"/>
      <c r="C1265" s="160"/>
      <c r="D1265" s="160"/>
      <c r="E1265" s="218"/>
      <c r="H1265" s="171"/>
    </row>
    <row r="1266">
      <c r="A1266" s="217"/>
      <c r="B1266" s="164"/>
      <c r="C1266" s="160"/>
      <c r="D1266" s="160"/>
      <c r="E1266" s="218"/>
      <c r="H1266" s="171"/>
    </row>
    <row r="1267">
      <c r="A1267" s="217"/>
      <c r="B1267" s="164"/>
      <c r="C1267" s="160"/>
      <c r="D1267" s="160"/>
      <c r="E1267" s="218"/>
      <c r="H1267" s="171"/>
    </row>
    <row r="1268">
      <c r="A1268" s="217"/>
      <c r="B1268" s="164"/>
      <c r="C1268" s="160"/>
      <c r="D1268" s="160"/>
      <c r="E1268" s="218"/>
      <c r="H1268" s="171"/>
    </row>
    <row r="1269">
      <c r="A1269" s="217"/>
      <c r="B1269" s="164"/>
      <c r="C1269" s="160"/>
      <c r="D1269" s="160"/>
      <c r="E1269" s="218"/>
      <c r="H1269" s="171"/>
    </row>
    <row r="1270">
      <c r="A1270" s="217"/>
      <c r="B1270" s="164"/>
      <c r="C1270" s="160"/>
      <c r="D1270" s="160"/>
      <c r="E1270" s="218"/>
      <c r="H1270" s="171"/>
    </row>
    <row r="1271">
      <c r="A1271" s="217"/>
      <c r="B1271" s="164"/>
      <c r="C1271" s="160"/>
      <c r="D1271" s="160"/>
      <c r="E1271" s="218"/>
      <c r="H1271" s="171"/>
    </row>
    <row r="1272">
      <c r="A1272" s="217"/>
      <c r="B1272" s="164"/>
      <c r="C1272" s="160"/>
      <c r="D1272" s="160"/>
      <c r="E1272" s="218"/>
      <c r="H1272" s="171"/>
    </row>
    <row r="1273">
      <c r="A1273" s="217"/>
      <c r="B1273" s="164"/>
      <c r="C1273" s="160"/>
      <c r="D1273" s="160"/>
      <c r="E1273" s="218"/>
      <c r="H1273" s="171"/>
    </row>
    <row r="1274">
      <c r="A1274" s="217"/>
      <c r="B1274" s="164"/>
      <c r="C1274" s="160"/>
      <c r="D1274" s="160"/>
      <c r="E1274" s="218"/>
      <c r="H1274" s="171"/>
    </row>
    <row r="1275">
      <c r="A1275" s="217"/>
      <c r="B1275" s="164"/>
      <c r="C1275" s="160"/>
      <c r="D1275" s="160"/>
      <c r="E1275" s="218"/>
      <c r="H1275" s="171"/>
    </row>
    <row r="1276">
      <c r="A1276" s="217"/>
      <c r="B1276" s="164"/>
      <c r="C1276" s="160"/>
      <c r="D1276" s="160"/>
      <c r="E1276" s="218"/>
      <c r="H1276" s="171"/>
    </row>
    <row r="1277">
      <c r="A1277" s="217"/>
      <c r="B1277" s="164"/>
      <c r="C1277" s="160"/>
      <c r="D1277" s="160"/>
      <c r="E1277" s="218"/>
      <c r="H1277" s="171"/>
    </row>
    <row r="1278">
      <c r="A1278" s="217"/>
      <c r="B1278" s="164"/>
      <c r="C1278" s="160"/>
      <c r="D1278" s="160"/>
      <c r="E1278" s="218"/>
      <c r="H1278" s="171"/>
    </row>
    <row r="1279">
      <c r="A1279" s="217"/>
      <c r="B1279" s="164"/>
      <c r="C1279" s="160"/>
      <c r="D1279" s="160"/>
      <c r="E1279" s="218"/>
      <c r="H1279" s="171"/>
    </row>
    <row r="1280">
      <c r="A1280" s="217"/>
      <c r="B1280" s="164"/>
      <c r="C1280" s="160"/>
      <c r="D1280" s="160"/>
      <c r="E1280" s="218"/>
      <c r="H1280" s="171"/>
    </row>
    <row r="1281">
      <c r="A1281" s="217"/>
      <c r="B1281" s="164"/>
      <c r="C1281" s="160"/>
      <c r="D1281" s="160"/>
      <c r="E1281" s="218"/>
      <c r="H1281" s="171"/>
    </row>
    <row r="1282">
      <c r="A1282" s="217"/>
      <c r="B1282" s="164"/>
      <c r="C1282" s="160"/>
      <c r="D1282" s="160"/>
      <c r="E1282" s="218"/>
      <c r="H1282" s="171"/>
    </row>
    <row r="1283">
      <c r="A1283" s="217"/>
      <c r="B1283" s="164"/>
      <c r="C1283" s="160"/>
      <c r="D1283" s="160"/>
      <c r="E1283" s="218"/>
      <c r="H1283" s="171"/>
    </row>
    <row r="1284">
      <c r="A1284" s="217"/>
      <c r="B1284" s="164"/>
      <c r="C1284" s="160"/>
      <c r="D1284" s="160"/>
      <c r="E1284" s="218"/>
      <c r="H1284" s="171"/>
    </row>
    <row r="1285">
      <c r="A1285" s="217"/>
      <c r="B1285" s="164"/>
      <c r="C1285" s="160"/>
      <c r="D1285" s="160"/>
      <c r="E1285" s="218"/>
      <c r="H1285" s="171"/>
    </row>
    <row r="1286">
      <c r="A1286" s="217"/>
      <c r="B1286" s="164"/>
      <c r="C1286" s="160"/>
      <c r="D1286" s="160"/>
      <c r="E1286" s="218"/>
      <c r="H1286" s="171"/>
    </row>
    <row r="1287">
      <c r="A1287" s="217"/>
      <c r="B1287" s="164"/>
      <c r="C1287" s="160"/>
      <c r="D1287" s="160"/>
      <c r="E1287" s="218"/>
      <c r="H1287" s="171"/>
    </row>
    <row r="1288">
      <c r="A1288" s="217"/>
      <c r="B1288" s="164"/>
      <c r="C1288" s="160"/>
      <c r="D1288" s="160"/>
      <c r="E1288" s="218"/>
      <c r="H1288" s="171"/>
    </row>
    <row r="1289">
      <c r="A1289" s="217"/>
      <c r="B1289" s="164"/>
      <c r="C1289" s="160"/>
      <c r="D1289" s="160"/>
      <c r="E1289" s="218"/>
      <c r="H1289" s="171"/>
    </row>
    <row r="1290">
      <c r="A1290" s="217"/>
      <c r="B1290" s="164"/>
      <c r="C1290" s="160"/>
      <c r="D1290" s="160"/>
      <c r="E1290" s="218"/>
      <c r="H1290" s="171"/>
    </row>
    <row r="1291">
      <c r="A1291" s="217"/>
      <c r="B1291" s="164"/>
      <c r="C1291" s="160"/>
      <c r="D1291" s="160"/>
      <c r="E1291" s="218"/>
      <c r="H1291" s="171"/>
    </row>
    <row r="1292">
      <c r="A1292" s="217"/>
      <c r="B1292" s="164"/>
      <c r="C1292" s="160"/>
      <c r="D1292" s="160"/>
      <c r="E1292" s="218"/>
      <c r="H1292" s="171"/>
    </row>
    <row r="1293">
      <c r="A1293" s="217"/>
      <c r="B1293" s="164"/>
      <c r="C1293" s="160"/>
      <c r="D1293" s="160"/>
      <c r="E1293" s="218"/>
      <c r="H1293" s="171"/>
    </row>
    <row r="1294">
      <c r="A1294" s="217"/>
      <c r="B1294" s="164"/>
      <c r="C1294" s="160"/>
      <c r="D1294" s="160"/>
      <c r="E1294" s="218"/>
      <c r="H1294" s="171"/>
    </row>
    <row r="1295">
      <c r="A1295" s="217"/>
      <c r="B1295" s="164"/>
      <c r="C1295" s="160"/>
      <c r="D1295" s="160"/>
      <c r="E1295" s="218"/>
      <c r="H1295" s="171"/>
    </row>
    <row r="1296">
      <c r="A1296" s="217"/>
      <c r="B1296" s="164"/>
      <c r="C1296" s="160"/>
      <c r="D1296" s="160"/>
      <c r="E1296" s="218"/>
      <c r="H1296" s="171"/>
    </row>
    <row r="1297">
      <c r="A1297" s="217"/>
      <c r="B1297" s="164"/>
      <c r="C1297" s="160"/>
      <c r="D1297" s="160"/>
      <c r="E1297" s="218"/>
      <c r="H1297" s="171"/>
    </row>
    <row r="1298">
      <c r="A1298" s="217"/>
      <c r="B1298" s="164"/>
      <c r="C1298" s="160"/>
      <c r="D1298" s="160"/>
      <c r="E1298" s="218"/>
      <c r="H1298" s="171"/>
    </row>
    <row r="1299">
      <c r="A1299" s="217"/>
      <c r="B1299" s="164"/>
      <c r="C1299" s="160"/>
      <c r="D1299" s="160"/>
      <c r="E1299" s="218"/>
      <c r="H1299" s="171"/>
    </row>
    <row r="1300">
      <c r="A1300" s="217"/>
      <c r="B1300" s="164"/>
      <c r="C1300" s="160"/>
      <c r="D1300" s="160"/>
      <c r="E1300" s="218"/>
      <c r="H1300" s="171"/>
    </row>
    <row r="1301">
      <c r="A1301" s="217"/>
      <c r="B1301" s="164"/>
      <c r="C1301" s="160"/>
      <c r="D1301" s="160"/>
      <c r="E1301" s="218"/>
      <c r="H1301" s="171"/>
    </row>
    <row r="1302">
      <c r="A1302" s="217"/>
      <c r="B1302" s="164"/>
      <c r="C1302" s="160"/>
      <c r="D1302" s="160"/>
      <c r="E1302" s="218"/>
      <c r="H1302" s="171"/>
    </row>
    <row r="1303">
      <c r="A1303" s="217"/>
      <c r="B1303" s="164"/>
      <c r="C1303" s="160"/>
      <c r="D1303" s="160"/>
      <c r="E1303" s="218"/>
      <c r="H1303" s="171"/>
    </row>
    <row r="1304">
      <c r="A1304" s="217"/>
      <c r="B1304" s="164"/>
      <c r="C1304" s="160"/>
      <c r="D1304" s="160"/>
      <c r="E1304" s="218"/>
      <c r="H1304" s="171"/>
    </row>
    <row r="1305">
      <c r="A1305" s="217"/>
      <c r="B1305" s="164"/>
      <c r="C1305" s="160"/>
      <c r="D1305" s="160"/>
      <c r="E1305" s="218"/>
      <c r="H1305" s="171"/>
    </row>
    <row r="1306">
      <c r="A1306" s="217"/>
      <c r="B1306" s="164"/>
      <c r="C1306" s="160"/>
      <c r="D1306" s="160"/>
      <c r="E1306" s="218"/>
      <c r="H1306" s="171"/>
    </row>
    <row r="1307">
      <c r="A1307" s="217"/>
      <c r="B1307" s="164"/>
      <c r="C1307" s="160"/>
      <c r="D1307" s="160"/>
      <c r="E1307" s="218"/>
      <c r="H1307" s="171"/>
    </row>
    <row r="1308">
      <c r="A1308" s="217"/>
      <c r="B1308" s="164"/>
      <c r="C1308" s="160"/>
      <c r="D1308" s="160"/>
      <c r="E1308" s="218"/>
      <c r="H1308" s="171"/>
    </row>
    <row r="1309">
      <c r="A1309" s="217"/>
      <c r="B1309" s="164"/>
      <c r="C1309" s="160"/>
      <c r="D1309" s="160"/>
      <c r="E1309" s="218"/>
      <c r="H1309" s="171"/>
    </row>
    <row r="1310">
      <c r="A1310" s="217"/>
      <c r="B1310" s="164"/>
      <c r="C1310" s="160"/>
      <c r="D1310" s="160"/>
      <c r="E1310" s="218"/>
      <c r="H1310" s="171"/>
    </row>
    <row r="1311">
      <c r="A1311" s="217"/>
      <c r="B1311" s="164"/>
      <c r="C1311" s="160"/>
      <c r="D1311" s="160"/>
      <c r="E1311" s="218"/>
      <c r="H1311" s="171"/>
    </row>
    <row r="1312">
      <c r="A1312" s="217"/>
      <c r="B1312" s="164"/>
      <c r="C1312" s="160"/>
      <c r="D1312" s="160"/>
      <c r="E1312" s="218"/>
      <c r="H1312" s="171"/>
    </row>
    <row r="1313">
      <c r="A1313" s="217"/>
      <c r="B1313" s="164"/>
      <c r="C1313" s="160"/>
      <c r="D1313" s="160"/>
      <c r="E1313" s="218"/>
      <c r="H1313" s="171"/>
    </row>
    <row r="1314">
      <c r="A1314" s="217"/>
      <c r="B1314" s="164"/>
      <c r="C1314" s="160"/>
      <c r="D1314" s="160"/>
      <c r="E1314" s="218"/>
      <c r="H1314" s="171"/>
    </row>
    <row r="1315">
      <c r="A1315" s="217"/>
      <c r="B1315" s="164"/>
      <c r="C1315" s="160"/>
      <c r="D1315" s="160"/>
      <c r="E1315" s="218"/>
      <c r="H1315" s="171"/>
    </row>
    <row r="1316">
      <c r="A1316" s="217"/>
      <c r="B1316" s="164"/>
      <c r="C1316" s="160"/>
      <c r="D1316" s="160"/>
      <c r="E1316" s="218"/>
      <c r="H1316" s="171"/>
    </row>
    <row r="1317">
      <c r="A1317" s="217"/>
      <c r="B1317" s="164"/>
      <c r="C1317" s="160"/>
      <c r="D1317" s="160"/>
      <c r="E1317" s="218"/>
      <c r="H1317" s="171"/>
    </row>
    <row r="1318">
      <c r="A1318" s="217"/>
      <c r="B1318" s="164"/>
      <c r="C1318" s="160"/>
      <c r="D1318" s="160"/>
      <c r="E1318" s="218"/>
      <c r="H1318" s="171"/>
    </row>
    <row r="1319">
      <c r="A1319" s="217"/>
      <c r="B1319" s="164"/>
      <c r="C1319" s="160"/>
      <c r="D1319" s="160"/>
      <c r="E1319" s="218"/>
      <c r="H1319" s="171"/>
    </row>
    <row r="1320">
      <c r="A1320" s="217"/>
      <c r="B1320" s="164"/>
      <c r="C1320" s="160"/>
      <c r="D1320" s="160"/>
      <c r="E1320" s="218"/>
      <c r="H1320" s="171"/>
    </row>
    <row r="1321">
      <c r="A1321" s="217"/>
      <c r="B1321" s="164"/>
      <c r="C1321" s="160"/>
      <c r="D1321" s="160"/>
      <c r="E1321" s="218"/>
      <c r="H1321" s="171"/>
    </row>
    <row r="1322">
      <c r="A1322" s="217"/>
      <c r="B1322" s="164"/>
      <c r="C1322" s="160"/>
      <c r="D1322" s="160"/>
      <c r="E1322" s="218"/>
      <c r="H1322" s="171"/>
    </row>
    <row r="1323">
      <c r="A1323" s="217"/>
      <c r="B1323" s="164"/>
      <c r="C1323" s="160"/>
      <c r="D1323" s="160"/>
      <c r="E1323" s="218"/>
      <c r="H1323" s="171"/>
    </row>
    <row r="1324">
      <c r="A1324" s="217"/>
      <c r="B1324" s="164"/>
      <c r="C1324" s="160"/>
      <c r="D1324" s="160"/>
      <c r="E1324" s="218"/>
      <c r="H1324" s="171"/>
    </row>
    <row r="1325">
      <c r="A1325" s="217"/>
      <c r="B1325" s="164"/>
      <c r="C1325" s="160"/>
      <c r="D1325" s="160"/>
      <c r="E1325" s="218"/>
      <c r="H1325" s="171"/>
    </row>
    <row r="1326">
      <c r="A1326" s="217"/>
      <c r="B1326" s="164"/>
      <c r="C1326" s="160"/>
      <c r="D1326" s="160"/>
      <c r="E1326" s="218"/>
      <c r="H1326" s="171"/>
    </row>
    <row r="1327">
      <c r="A1327" s="217"/>
      <c r="B1327" s="164"/>
      <c r="C1327" s="160"/>
      <c r="D1327" s="160"/>
      <c r="E1327" s="218"/>
      <c r="H1327" s="171"/>
    </row>
    <row r="1328">
      <c r="A1328" s="217"/>
      <c r="B1328" s="164"/>
      <c r="C1328" s="160"/>
      <c r="D1328" s="160"/>
      <c r="E1328" s="218"/>
      <c r="H1328" s="171"/>
    </row>
    <row r="1329">
      <c r="A1329" s="217"/>
      <c r="B1329" s="164"/>
      <c r="C1329" s="160"/>
      <c r="D1329" s="160"/>
      <c r="E1329" s="218"/>
      <c r="H1329" s="171"/>
    </row>
    <row r="1330">
      <c r="A1330" s="217"/>
      <c r="B1330" s="164"/>
      <c r="C1330" s="160"/>
      <c r="D1330" s="160"/>
      <c r="E1330" s="218"/>
      <c r="H1330" s="171"/>
    </row>
    <row r="1331">
      <c r="A1331" s="217"/>
      <c r="B1331" s="164"/>
      <c r="C1331" s="160"/>
      <c r="D1331" s="160"/>
      <c r="E1331" s="218"/>
      <c r="H1331" s="171"/>
    </row>
    <row r="1332">
      <c r="A1332" s="217"/>
      <c r="B1332" s="164"/>
      <c r="C1332" s="160"/>
      <c r="D1332" s="160"/>
      <c r="E1332" s="218"/>
      <c r="H1332" s="171"/>
    </row>
    <row r="1333">
      <c r="A1333" s="217"/>
      <c r="B1333" s="164"/>
      <c r="C1333" s="160"/>
      <c r="D1333" s="160"/>
      <c r="E1333" s="218"/>
      <c r="H1333" s="171"/>
    </row>
    <row r="1334">
      <c r="A1334" s="217"/>
      <c r="B1334" s="164"/>
      <c r="C1334" s="160"/>
      <c r="D1334" s="160"/>
      <c r="E1334" s="218"/>
      <c r="H1334" s="171"/>
    </row>
    <row r="1335">
      <c r="A1335" s="217"/>
      <c r="B1335" s="164"/>
      <c r="C1335" s="160"/>
      <c r="D1335" s="160"/>
      <c r="E1335" s="218"/>
      <c r="H1335" s="171"/>
    </row>
    <row r="1336">
      <c r="A1336" s="217"/>
      <c r="B1336" s="164"/>
      <c r="C1336" s="160"/>
      <c r="D1336" s="160"/>
      <c r="E1336" s="218"/>
      <c r="H1336" s="171"/>
    </row>
    <row r="1337">
      <c r="A1337" s="217"/>
      <c r="B1337" s="164"/>
      <c r="C1337" s="160"/>
      <c r="D1337" s="160"/>
      <c r="E1337" s="218"/>
      <c r="H1337" s="171"/>
    </row>
    <row r="1338">
      <c r="A1338" s="217"/>
      <c r="B1338" s="164"/>
      <c r="C1338" s="160"/>
      <c r="D1338" s="160"/>
      <c r="E1338" s="218"/>
      <c r="H1338" s="171"/>
    </row>
    <row r="1339">
      <c r="A1339" s="217"/>
      <c r="B1339" s="164"/>
      <c r="C1339" s="160"/>
      <c r="D1339" s="160"/>
      <c r="E1339" s="218"/>
      <c r="H1339" s="171"/>
    </row>
    <row r="1340">
      <c r="A1340" s="217"/>
      <c r="B1340" s="164"/>
      <c r="C1340" s="160"/>
      <c r="D1340" s="160"/>
      <c r="E1340" s="218"/>
      <c r="H1340" s="171"/>
    </row>
    <row r="1341">
      <c r="A1341" s="217"/>
      <c r="B1341" s="164"/>
      <c r="C1341" s="160"/>
      <c r="D1341" s="160"/>
      <c r="E1341" s="218"/>
      <c r="H1341" s="171"/>
    </row>
    <row r="1342">
      <c r="A1342" s="217"/>
      <c r="B1342" s="164"/>
      <c r="C1342" s="160"/>
      <c r="D1342" s="160"/>
      <c r="E1342" s="218"/>
      <c r="H1342" s="171"/>
    </row>
    <row r="1343">
      <c r="A1343" s="217"/>
      <c r="B1343" s="164"/>
      <c r="C1343" s="160"/>
      <c r="D1343" s="160"/>
      <c r="E1343" s="218"/>
      <c r="H1343" s="171"/>
    </row>
    <row r="1344">
      <c r="A1344" s="217"/>
      <c r="B1344" s="164"/>
      <c r="C1344" s="160"/>
      <c r="D1344" s="160"/>
      <c r="E1344" s="218"/>
      <c r="H1344" s="171"/>
    </row>
    <row r="1345">
      <c r="A1345" s="217"/>
      <c r="B1345" s="164"/>
      <c r="C1345" s="160"/>
      <c r="D1345" s="160"/>
      <c r="E1345" s="218"/>
      <c r="H1345" s="171"/>
    </row>
    <row r="1346">
      <c r="A1346" s="217"/>
      <c r="B1346" s="164"/>
      <c r="C1346" s="160"/>
      <c r="D1346" s="160"/>
      <c r="E1346" s="218"/>
      <c r="H1346" s="171"/>
    </row>
    <row r="1347">
      <c r="A1347" s="217"/>
      <c r="B1347" s="164"/>
      <c r="C1347" s="160"/>
      <c r="D1347" s="160"/>
      <c r="E1347" s="218"/>
      <c r="H1347" s="171"/>
    </row>
    <row r="1348">
      <c r="A1348" s="217"/>
      <c r="B1348" s="164"/>
      <c r="C1348" s="160"/>
      <c r="D1348" s="160"/>
      <c r="E1348" s="218"/>
      <c r="H1348" s="171"/>
    </row>
    <row r="1349">
      <c r="A1349" s="217"/>
      <c r="B1349" s="164"/>
      <c r="C1349" s="160"/>
      <c r="D1349" s="160"/>
      <c r="E1349" s="218"/>
      <c r="H1349" s="171"/>
    </row>
    <row r="1350">
      <c r="A1350" s="217"/>
      <c r="B1350" s="164"/>
      <c r="C1350" s="160"/>
      <c r="D1350" s="160"/>
      <c r="E1350" s="218"/>
      <c r="H1350" s="171"/>
    </row>
    <row r="1351">
      <c r="A1351" s="217"/>
      <c r="B1351" s="164"/>
      <c r="C1351" s="160"/>
      <c r="D1351" s="160"/>
      <c r="E1351" s="218"/>
      <c r="H1351" s="171"/>
    </row>
    <row r="1352">
      <c r="A1352" s="217"/>
      <c r="B1352" s="164"/>
      <c r="C1352" s="160"/>
      <c r="D1352" s="160"/>
      <c r="E1352" s="218"/>
      <c r="H1352" s="171"/>
    </row>
    <row r="1353">
      <c r="A1353" s="217"/>
      <c r="B1353" s="164"/>
      <c r="C1353" s="160"/>
      <c r="D1353" s="160"/>
      <c r="E1353" s="218"/>
      <c r="H1353" s="171"/>
    </row>
    <row r="1354">
      <c r="A1354" s="217"/>
      <c r="B1354" s="164"/>
      <c r="C1354" s="160"/>
      <c r="D1354" s="160"/>
      <c r="E1354" s="218"/>
      <c r="H1354" s="171"/>
    </row>
    <row r="1355">
      <c r="A1355" s="217"/>
      <c r="B1355" s="164"/>
      <c r="C1355" s="160"/>
      <c r="D1355" s="160"/>
      <c r="E1355" s="218"/>
      <c r="H1355" s="171"/>
    </row>
    <row r="1356">
      <c r="A1356" s="217"/>
      <c r="B1356" s="164"/>
      <c r="C1356" s="160"/>
      <c r="D1356" s="160"/>
      <c r="E1356" s="218"/>
      <c r="H1356" s="171"/>
    </row>
    <row r="1357">
      <c r="A1357" s="217"/>
      <c r="B1357" s="164"/>
      <c r="C1357" s="160"/>
      <c r="D1357" s="160"/>
      <c r="E1357" s="218"/>
      <c r="H1357" s="171"/>
    </row>
    <row r="1358">
      <c r="A1358" s="217"/>
      <c r="B1358" s="164"/>
      <c r="C1358" s="160"/>
      <c r="D1358" s="160"/>
      <c r="E1358" s="218"/>
      <c r="H1358" s="171"/>
    </row>
    <row r="1359">
      <c r="A1359" s="217"/>
      <c r="B1359" s="164"/>
      <c r="C1359" s="160"/>
      <c r="D1359" s="160"/>
      <c r="E1359" s="218"/>
      <c r="H1359" s="171"/>
    </row>
    <row r="1360">
      <c r="A1360" s="217"/>
      <c r="B1360" s="164"/>
      <c r="C1360" s="160"/>
      <c r="D1360" s="160"/>
      <c r="E1360" s="218"/>
      <c r="H1360" s="171"/>
    </row>
    <row r="1361">
      <c r="A1361" s="217"/>
      <c r="B1361" s="164"/>
      <c r="C1361" s="160"/>
      <c r="D1361" s="160"/>
      <c r="E1361" s="218"/>
      <c r="H1361" s="171"/>
    </row>
    <row r="1362">
      <c r="A1362" s="217"/>
      <c r="B1362" s="164"/>
      <c r="C1362" s="160"/>
      <c r="D1362" s="160"/>
      <c r="E1362" s="218"/>
      <c r="H1362" s="171"/>
    </row>
    <row r="1363">
      <c r="A1363" s="217"/>
      <c r="B1363" s="164"/>
      <c r="C1363" s="160"/>
      <c r="D1363" s="160"/>
      <c r="E1363" s="218"/>
      <c r="H1363" s="171"/>
    </row>
    <row r="1364">
      <c r="A1364" s="217"/>
      <c r="B1364" s="164"/>
      <c r="C1364" s="160"/>
      <c r="D1364" s="160"/>
      <c r="E1364" s="218"/>
      <c r="H1364" s="171"/>
    </row>
    <row r="1365">
      <c r="A1365" s="217"/>
      <c r="B1365" s="164"/>
      <c r="C1365" s="160"/>
      <c r="D1365" s="160"/>
      <c r="E1365" s="218"/>
      <c r="H1365" s="171"/>
    </row>
    <row r="1366">
      <c r="A1366" s="217"/>
      <c r="B1366" s="164"/>
      <c r="C1366" s="160"/>
      <c r="D1366" s="160"/>
      <c r="E1366" s="218"/>
      <c r="H1366" s="171"/>
    </row>
    <row r="1367">
      <c r="A1367" s="217"/>
      <c r="B1367" s="164"/>
      <c r="C1367" s="160"/>
      <c r="D1367" s="160"/>
      <c r="E1367" s="218"/>
      <c r="H1367" s="171"/>
    </row>
    <row r="1368">
      <c r="A1368" s="217"/>
      <c r="B1368" s="164"/>
      <c r="C1368" s="160"/>
      <c r="D1368" s="160"/>
      <c r="E1368" s="218"/>
      <c r="H1368" s="171"/>
    </row>
    <row r="1369">
      <c r="A1369" s="217"/>
      <c r="B1369" s="164"/>
      <c r="C1369" s="160"/>
      <c r="D1369" s="160"/>
      <c r="E1369" s="218"/>
      <c r="H1369" s="171"/>
    </row>
    <row r="1370">
      <c r="A1370" s="217"/>
      <c r="B1370" s="164"/>
      <c r="C1370" s="160"/>
      <c r="D1370" s="160"/>
      <c r="E1370" s="218"/>
      <c r="H1370" s="171"/>
    </row>
    <row r="1371">
      <c r="A1371" s="217"/>
      <c r="B1371" s="164"/>
      <c r="C1371" s="160"/>
      <c r="D1371" s="160"/>
      <c r="E1371" s="218"/>
      <c r="H1371" s="171"/>
    </row>
    <row r="1372">
      <c r="A1372" s="217"/>
      <c r="B1372" s="164"/>
      <c r="C1372" s="160"/>
      <c r="D1372" s="160"/>
      <c r="E1372" s="218"/>
      <c r="H1372" s="171"/>
    </row>
    <row r="1373">
      <c r="A1373" s="217"/>
      <c r="B1373" s="164"/>
      <c r="C1373" s="160"/>
      <c r="D1373" s="160"/>
      <c r="E1373" s="218"/>
      <c r="H1373" s="171"/>
    </row>
    <row r="1374">
      <c r="A1374" s="217"/>
      <c r="B1374" s="164"/>
      <c r="C1374" s="160"/>
      <c r="D1374" s="160"/>
      <c r="E1374" s="218"/>
      <c r="H1374" s="171"/>
    </row>
    <row r="1375">
      <c r="A1375" s="217"/>
      <c r="B1375" s="164"/>
      <c r="C1375" s="160"/>
      <c r="D1375" s="160"/>
      <c r="E1375" s="218"/>
      <c r="H1375" s="171"/>
    </row>
    <row r="1376">
      <c r="A1376" s="217"/>
      <c r="B1376" s="164"/>
      <c r="C1376" s="160"/>
      <c r="D1376" s="160"/>
      <c r="E1376" s="218"/>
      <c r="H1376" s="171"/>
    </row>
    <row r="1377">
      <c r="A1377" s="217"/>
      <c r="B1377" s="164"/>
      <c r="C1377" s="160"/>
      <c r="D1377" s="160"/>
      <c r="E1377" s="218"/>
      <c r="H1377" s="171"/>
    </row>
    <row r="1378">
      <c r="A1378" s="217"/>
      <c r="B1378" s="164"/>
      <c r="C1378" s="160"/>
      <c r="D1378" s="160"/>
      <c r="E1378" s="218"/>
      <c r="H1378" s="171"/>
    </row>
    <row r="1379">
      <c r="A1379" s="217"/>
      <c r="B1379" s="164"/>
      <c r="C1379" s="160"/>
      <c r="D1379" s="160"/>
      <c r="E1379" s="218"/>
      <c r="H1379" s="171"/>
    </row>
    <row r="1380">
      <c r="A1380" s="217"/>
      <c r="B1380" s="164"/>
      <c r="C1380" s="160"/>
      <c r="D1380" s="160"/>
      <c r="E1380" s="218"/>
      <c r="H1380" s="171"/>
    </row>
    <row r="1381">
      <c r="A1381" s="217"/>
      <c r="B1381" s="164"/>
      <c r="C1381" s="160"/>
      <c r="D1381" s="160"/>
      <c r="E1381" s="218"/>
      <c r="H1381" s="171"/>
    </row>
    <row r="1382">
      <c r="A1382" s="217"/>
      <c r="B1382" s="164"/>
      <c r="C1382" s="160"/>
      <c r="D1382" s="160"/>
      <c r="E1382" s="218"/>
      <c r="H1382" s="171"/>
    </row>
    <row r="1383">
      <c r="A1383" s="217"/>
      <c r="B1383" s="164"/>
      <c r="C1383" s="160"/>
      <c r="D1383" s="160"/>
      <c r="E1383" s="218"/>
      <c r="H1383" s="171"/>
    </row>
    <row r="1384">
      <c r="A1384" s="217"/>
      <c r="B1384" s="164"/>
      <c r="C1384" s="160"/>
      <c r="D1384" s="160"/>
      <c r="E1384" s="218"/>
      <c r="H1384" s="171"/>
    </row>
    <row r="1385">
      <c r="A1385" s="217"/>
      <c r="B1385" s="164"/>
      <c r="C1385" s="160"/>
      <c r="D1385" s="160"/>
      <c r="E1385" s="218"/>
      <c r="H1385" s="171"/>
    </row>
    <row r="1386">
      <c r="A1386" s="217"/>
      <c r="B1386" s="164"/>
      <c r="C1386" s="160"/>
      <c r="D1386" s="160"/>
      <c r="E1386" s="218"/>
      <c r="H1386" s="171"/>
    </row>
    <row r="1387">
      <c r="A1387" s="217"/>
      <c r="B1387" s="164"/>
      <c r="C1387" s="160"/>
      <c r="D1387" s="160"/>
      <c r="E1387" s="218"/>
      <c r="H1387" s="171"/>
    </row>
    <row r="1388">
      <c r="A1388" s="217"/>
      <c r="B1388" s="164"/>
      <c r="C1388" s="160"/>
      <c r="D1388" s="160"/>
      <c r="E1388" s="218"/>
      <c r="H1388" s="171"/>
    </row>
    <row r="1389">
      <c r="A1389" s="217"/>
      <c r="B1389" s="164"/>
      <c r="C1389" s="160"/>
      <c r="D1389" s="160"/>
      <c r="E1389" s="218"/>
      <c r="H1389" s="171"/>
    </row>
    <row r="1390">
      <c r="A1390" s="217"/>
      <c r="B1390" s="164"/>
      <c r="C1390" s="160"/>
      <c r="D1390" s="160"/>
      <c r="E1390" s="218"/>
      <c r="H1390" s="171"/>
    </row>
    <row r="1391">
      <c r="A1391" s="217"/>
      <c r="B1391" s="164"/>
      <c r="C1391" s="160"/>
      <c r="D1391" s="160"/>
      <c r="E1391" s="218"/>
      <c r="H1391" s="171"/>
    </row>
    <row r="1392">
      <c r="A1392" s="217"/>
      <c r="B1392" s="164"/>
      <c r="C1392" s="160"/>
      <c r="D1392" s="160"/>
      <c r="E1392" s="218"/>
      <c r="H1392" s="171"/>
    </row>
    <row r="1393">
      <c r="A1393" s="217"/>
      <c r="B1393" s="164"/>
      <c r="C1393" s="160"/>
      <c r="D1393" s="160"/>
      <c r="E1393" s="218"/>
      <c r="H1393" s="171"/>
    </row>
    <row r="1394">
      <c r="A1394" s="217"/>
      <c r="B1394" s="164"/>
      <c r="C1394" s="160"/>
      <c r="D1394" s="160"/>
      <c r="E1394" s="218"/>
      <c r="H1394" s="171"/>
    </row>
    <row r="1395">
      <c r="A1395" s="217"/>
      <c r="B1395" s="164"/>
      <c r="C1395" s="160"/>
      <c r="D1395" s="160"/>
      <c r="E1395" s="218"/>
      <c r="H1395" s="171"/>
    </row>
    <row r="1396">
      <c r="A1396" s="217"/>
      <c r="B1396" s="164"/>
      <c r="C1396" s="160"/>
      <c r="D1396" s="160"/>
      <c r="E1396" s="218"/>
      <c r="H1396" s="171"/>
    </row>
    <row r="1397">
      <c r="A1397" s="217"/>
      <c r="B1397" s="164"/>
      <c r="C1397" s="160"/>
      <c r="D1397" s="160"/>
      <c r="E1397" s="218"/>
      <c r="H1397" s="171"/>
    </row>
    <row r="1398">
      <c r="A1398" s="217"/>
      <c r="B1398" s="164"/>
      <c r="C1398" s="160"/>
      <c r="D1398" s="160"/>
      <c r="E1398" s="218"/>
      <c r="H1398" s="171"/>
    </row>
    <row r="1399">
      <c r="A1399" s="217"/>
      <c r="B1399" s="164"/>
      <c r="C1399" s="160"/>
      <c r="D1399" s="160"/>
      <c r="E1399" s="218"/>
      <c r="H1399" s="171"/>
    </row>
    <row r="1400">
      <c r="A1400" s="217"/>
      <c r="B1400" s="164"/>
      <c r="C1400" s="160"/>
      <c r="D1400" s="160"/>
      <c r="E1400" s="218"/>
      <c r="H1400" s="171"/>
    </row>
    <row r="1401">
      <c r="A1401" s="217"/>
      <c r="B1401" s="164"/>
      <c r="C1401" s="160"/>
      <c r="D1401" s="160"/>
      <c r="E1401" s="218"/>
      <c r="H1401" s="171"/>
    </row>
    <row r="1402">
      <c r="A1402" s="217"/>
      <c r="B1402" s="164"/>
      <c r="C1402" s="160"/>
      <c r="D1402" s="160"/>
      <c r="E1402" s="218"/>
      <c r="H1402" s="171"/>
    </row>
    <row r="1403">
      <c r="A1403" s="217"/>
      <c r="B1403" s="164"/>
      <c r="C1403" s="160"/>
      <c r="D1403" s="160"/>
      <c r="E1403" s="218"/>
      <c r="H1403" s="171"/>
    </row>
    <row r="1404">
      <c r="A1404" s="217"/>
      <c r="B1404" s="164"/>
      <c r="C1404" s="160"/>
      <c r="D1404" s="160"/>
      <c r="E1404" s="218"/>
      <c r="H1404" s="171"/>
    </row>
    <row r="1405">
      <c r="A1405" s="217"/>
      <c r="B1405" s="164"/>
      <c r="C1405" s="160"/>
      <c r="D1405" s="160"/>
      <c r="E1405" s="218"/>
      <c r="H1405" s="171"/>
    </row>
    <row r="1406">
      <c r="A1406" s="217"/>
      <c r="B1406" s="164"/>
      <c r="C1406" s="160"/>
      <c r="D1406" s="160"/>
      <c r="E1406" s="218"/>
      <c r="H1406" s="171"/>
    </row>
    <row r="1407">
      <c r="A1407" s="217"/>
      <c r="B1407" s="164"/>
      <c r="C1407" s="160"/>
      <c r="D1407" s="160"/>
      <c r="E1407" s="218"/>
      <c r="H1407" s="171"/>
    </row>
    <row r="1408">
      <c r="A1408" s="217"/>
      <c r="B1408" s="164"/>
      <c r="C1408" s="160"/>
      <c r="D1408" s="160"/>
      <c r="E1408" s="218"/>
      <c r="H1408" s="171"/>
    </row>
    <row r="1409">
      <c r="A1409" s="217"/>
      <c r="B1409" s="164"/>
      <c r="C1409" s="160"/>
      <c r="D1409" s="160"/>
      <c r="E1409" s="218"/>
      <c r="H1409" s="171"/>
    </row>
    <row r="1410">
      <c r="A1410" s="217"/>
      <c r="B1410" s="164"/>
      <c r="C1410" s="160"/>
      <c r="D1410" s="160"/>
      <c r="E1410" s="218"/>
      <c r="H1410" s="171"/>
    </row>
    <row r="1411">
      <c r="A1411" s="217"/>
      <c r="B1411" s="164"/>
      <c r="C1411" s="160"/>
      <c r="D1411" s="160"/>
      <c r="E1411" s="218"/>
      <c r="H1411" s="171"/>
    </row>
    <row r="1412">
      <c r="A1412" s="217"/>
      <c r="B1412" s="164"/>
      <c r="C1412" s="160"/>
      <c r="D1412" s="160"/>
      <c r="E1412" s="218"/>
      <c r="H1412" s="171"/>
    </row>
    <row r="1413">
      <c r="A1413" s="217"/>
      <c r="B1413" s="164"/>
      <c r="C1413" s="160"/>
      <c r="D1413" s="160"/>
      <c r="E1413" s="218"/>
      <c r="H1413" s="171"/>
    </row>
    <row r="1414">
      <c r="A1414" s="217"/>
      <c r="B1414" s="164"/>
      <c r="C1414" s="160"/>
      <c r="D1414" s="160"/>
      <c r="E1414" s="218"/>
      <c r="H1414" s="171"/>
    </row>
    <row r="1415">
      <c r="A1415" s="217"/>
      <c r="B1415" s="164"/>
      <c r="C1415" s="160"/>
      <c r="D1415" s="160"/>
      <c r="E1415" s="218"/>
      <c r="H1415" s="171"/>
    </row>
    <row r="1416">
      <c r="A1416" s="217"/>
      <c r="B1416" s="164"/>
      <c r="C1416" s="160"/>
      <c r="D1416" s="160"/>
      <c r="E1416" s="218"/>
      <c r="H1416" s="171"/>
    </row>
    <row r="1417">
      <c r="A1417" s="217"/>
      <c r="B1417" s="164"/>
      <c r="C1417" s="160"/>
      <c r="D1417" s="160"/>
      <c r="E1417" s="218"/>
      <c r="H1417" s="171"/>
    </row>
    <row r="1418">
      <c r="A1418" s="217"/>
      <c r="B1418" s="164"/>
      <c r="C1418" s="160"/>
      <c r="D1418" s="160"/>
      <c r="E1418" s="218"/>
      <c r="H1418" s="171"/>
    </row>
    <row r="1419">
      <c r="A1419" s="217"/>
      <c r="B1419" s="164"/>
      <c r="C1419" s="160"/>
      <c r="D1419" s="160"/>
      <c r="E1419" s="218"/>
      <c r="H1419" s="171"/>
    </row>
    <row r="1420">
      <c r="A1420" s="217"/>
      <c r="B1420" s="164"/>
      <c r="C1420" s="160"/>
      <c r="D1420" s="160"/>
      <c r="E1420" s="218"/>
      <c r="H1420" s="171"/>
    </row>
    <row r="1421">
      <c r="A1421" s="217"/>
      <c r="B1421" s="164"/>
      <c r="C1421" s="160"/>
      <c r="D1421" s="160"/>
      <c r="E1421" s="218"/>
      <c r="H1421" s="171"/>
    </row>
    <row r="1422">
      <c r="A1422" s="217"/>
      <c r="B1422" s="164"/>
      <c r="C1422" s="160"/>
      <c r="D1422" s="160"/>
      <c r="E1422" s="218"/>
      <c r="H1422" s="171"/>
    </row>
    <row r="1423">
      <c r="A1423" s="217"/>
      <c r="B1423" s="164"/>
      <c r="C1423" s="160"/>
      <c r="D1423" s="160"/>
      <c r="E1423" s="218"/>
      <c r="H1423" s="171"/>
    </row>
    <row r="1424">
      <c r="A1424" s="217"/>
      <c r="B1424" s="164"/>
      <c r="C1424" s="160"/>
      <c r="D1424" s="160"/>
      <c r="E1424" s="218"/>
      <c r="H1424" s="171"/>
    </row>
    <row r="1425">
      <c r="A1425" s="217"/>
      <c r="B1425" s="164"/>
      <c r="C1425" s="160"/>
      <c r="D1425" s="160"/>
      <c r="E1425" s="218"/>
      <c r="H1425" s="171"/>
    </row>
    <row r="1426">
      <c r="A1426" s="217"/>
      <c r="B1426" s="164"/>
      <c r="C1426" s="160"/>
      <c r="D1426" s="160"/>
      <c r="E1426" s="218"/>
      <c r="H1426" s="171"/>
    </row>
    <row r="1427">
      <c r="A1427" s="217"/>
      <c r="B1427" s="164"/>
      <c r="C1427" s="160"/>
      <c r="D1427" s="160"/>
      <c r="E1427" s="218"/>
      <c r="H1427" s="171"/>
    </row>
    <row r="1428">
      <c r="A1428" s="217"/>
      <c r="B1428" s="164"/>
      <c r="C1428" s="160"/>
      <c r="D1428" s="160"/>
      <c r="E1428" s="218"/>
      <c r="H1428" s="171"/>
    </row>
    <row r="1429">
      <c r="A1429" s="217"/>
      <c r="B1429" s="164"/>
      <c r="C1429" s="160"/>
      <c r="D1429" s="160"/>
      <c r="E1429" s="218"/>
      <c r="H1429" s="171"/>
    </row>
    <row r="1430">
      <c r="A1430" s="217"/>
      <c r="B1430" s="164"/>
      <c r="C1430" s="160"/>
      <c r="D1430" s="160"/>
      <c r="E1430" s="218"/>
      <c r="H1430" s="171"/>
    </row>
    <row r="1431">
      <c r="A1431" s="217"/>
      <c r="B1431" s="164"/>
      <c r="C1431" s="160"/>
      <c r="D1431" s="160"/>
      <c r="E1431" s="218"/>
      <c r="H1431" s="171"/>
    </row>
    <row r="1432">
      <c r="A1432" s="217"/>
      <c r="B1432" s="164"/>
      <c r="C1432" s="160"/>
      <c r="D1432" s="160"/>
      <c r="E1432" s="218"/>
      <c r="H1432" s="171"/>
    </row>
    <row r="1433">
      <c r="A1433" s="217"/>
      <c r="B1433" s="164"/>
      <c r="C1433" s="160"/>
      <c r="D1433" s="160"/>
      <c r="E1433" s="218"/>
      <c r="H1433" s="171"/>
    </row>
    <row r="1434">
      <c r="A1434" s="217"/>
      <c r="B1434" s="164"/>
      <c r="C1434" s="160"/>
      <c r="D1434" s="160"/>
      <c r="E1434" s="218"/>
      <c r="H1434" s="171"/>
    </row>
    <row r="1435">
      <c r="A1435" s="217"/>
      <c r="B1435" s="164"/>
      <c r="C1435" s="160"/>
      <c r="D1435" s="160"/>
      <c r="E1435" s="218"/>
      <c r="H1435" s="171"/>
    </row>
    <row r="1436">
      <c r="A1436" s="217"/>
      <c r="B1436" s="164"/>
      <c r="C1436" s="160"/>
      <c r="D1436" s="160"/>
      <c r="E1436" s="218"/>
      <c r="H1436" s="171"/>
    </row>
    <row r="1437">
      <c r="A1437" s="217"/>
      <c r="B1437" s="164"/>
      <c r="C1437" s="160"/>
      <c r="D1437" s="160"/>
      <c r="E1437" s="218"/>
      <c r="H1437" s="171"/>
    </row>
    <row r="1438">
      <c r="A1438" s="217"/>
      <c r="B1438" s="164"/>
      <c r="C1438" s="160"/>
      <c r="D1438" s="160"/>
      <c r="E1438" s="218"/>
      <c r="H1438" s="171"/>
    </row>
    <row r="1439">
      <c r="A1439" s="217"/>
      <c r="B1439" s="164"/>
      <c r="C1439" s="160"/>
      <c r="D1439" s="160"/>
      <c r="E1439" s="218"/>
      <c r="H1439" s="171"/>
    </row>
    <row r="1440">
      <c r="A1440" s="217"/>
      <c r="B1440" s="164"/>
      <c r="C1440" s="160"/>
      <c r="D1440" s="160"/>
      <c r="E1440" s="218"/>
      <c r="H1440" s="171"/>
    </row>
    <row r="1441">
      <c r="A1441" s="217"/>
      <c r="B1441" s="164"/>
      <c r="C1441" s="160"/>
      <c r="D1441" s="160"/>
      <c r="E1441" s="218"/>
      <c r="H1441" s="171"/>
    </row>
    <row r="1442">
      <c r="A1442" s="217"/>
      <c r="B1442" s="164"/>
      <c r="C1442" s="160"/>
      <c r="D1442" s="160"/>
      <c r="E1442" s="218"/>
      <c r="H1442" s="171"/>
    </row>
    <row r="1443">
      <c r="A1443" s="217"/>
      <c r="B1443" s="164"/>
      <c r="C1443" s="160"/>
      <c r="D1443" s="160"/>
      <c r="E1443" s="218"/>
      <c r="H1443" s="171"/>
    </row>
    <row r="1444">
      <c r="A1444" s="217"/>
      <c r="B1444" s="164"/>
      <c r="C1444" s="160"/>
      <c r="D1444" s="160"/>
      <c r="E1444" s="218"/>
      <c r="H1444" s="171"/>
    </row>
    <row r="1445">
      <c r="A1445" s="217"/>
      <c r="B1445" s="164"/>
      <c r="C1445" s="160"/>
      <c r="D1445" s="160"/>
      <c r="E1445" s="218"/>
      <c r="H1445" s="171"/>
    </row>
    <row r="1446">
      <c r="A1446" s="217"/>
      <c r="B1446" s="164"/>
      <c r="C1446" s="160"/>
      <c r="D1446" s="160"/>
      <c r="E1446" s="218"/>
      <c r="H1446" s="171"/>
    </row>
    <row r="1447">
      <c r="A1447" s="217"/>
      <c r="B1447" s="164"/>
      <c r="C1447" s="160"/>
      <c r="D1447" s="160"/>
      <c r="E1447" s="218"/>
      <c r="H1447" s="171"/>
    </row>
    <row r="1448">
      <c r="A1448" s="217"/>
      <c r="B1448" s="164"/>
      <c r="C1448" s="160"/>
      <c r="D1448" s="160"/>
      <c r="E1448" s="218"/>
      <c r="H1448" s="171"/>
    </row>
    <row r="1449">
      <c r="A1449" s="217"/>
      <c r="B1449" s="164"/>
      <c r="C1449" s="160"/>
      <c r="D1449" s="160"/>
      <c r="E1449" s="218"/>
      <c r="H1449" s="171"/>
    </row>
    <row r="1450">
      <c r="A1450" s="217"/>
      <c r="B1450" s="164"/>
      <c r="C1450" s="160"/>
      <c r="D1450" s="160"/>
      <c r="E1450" s="218"/>
      <c r="H1450" s="171"/>
    </row>
    <row r="1451">
      <c r="A1451" s="217"/>
      <c r="B1451" s="164"/>
      <c r="C1451" s="160"/>
      <c r="D1451" s="160"/>
      <c r="E1451" s="218"/>
      <c r="H1451" s="171"/>
    </row>
    <row r="1452">
      <c r="A1452" s="217"/>
      <c r="B1452" s="164"/>
      <c r="C1452" s="160"/>
      <c r="D1452" s="160"/>
      <c r="E1452" s="218"/>
      <c r="H1452" s="171"/>
    </row>
    <row r="1453">
      <c r="A1453" s="217"/>
      <c r="B1453" s="164"/>
      <c r="C1453" s="160"/>
      <c r="D1453" s="160"/>
      <c r="E1453" s="218"/>
      <c r="H1453" s="171"/>
    </row>
    <row r="1454">
      <c r="A1454" s="217"/>
      <c r="B1454" s="164"/>
      <c r="C1454" s="160"/>
      <c r="D1454" s="160"/>
      <c r="E1454" s="218"/>
      <c r="H1454" s="171"/>
    </row>
    <row r="1455">
      <c r="A1455" s="217"/>
      <c r="B1455" s="164"/>
      <c r="C1455" s="160"/>
      <c r="D1455" s="160"/>
      <c r="E1455" s="218"/>
      <c r="H1455" s="171"/>
    </row>
    <row r="1456">
      <c r="A1456" s="217"/>
      <c r="B1456" s="164"/>
      <c r="C1456" s="160"/>
      <c r="D1456" s="160"/>
      <c r="E1456" s="218"/>
      <c r="H1456" s="171"/>
    </row>
    <row r="1457">
      <c r="A1457" s="217"/>
      <c r="B1457" s="164"/>
      <c r="C1457" s="160"/>
      <c r="D1457" s="160"/>
      <c r="E1457" s="218"/>
      <c r="H1457" s="171"/>
    </row>
    <row r="1458">
      <c r="A1458" s="217"/>
      <c r="B1458" s="164"/>
      <c r="C1458" s="160"/>
      <c r="D1458" s="160"/>
      <c r="E1458" s="218"/>
      <c r="H1458" s="171"/>
    </row>
    <row r="1459">
      <c r="A1459" s="217"/>
      <c r="B1459" s="164"/>
      <c r="C1459" s="160"/>
      <c r="D1459" s="160"/>
      <c r="E1459" s="218"/>
      <c r="H1459" s="171"/>
    </row>
    <row r="1460">
      <c r="A1460" s="217"/>
      <c r="B1460" s="167"/>
      <c r="C1460" s="41"/>
      <c r="D1460" s="41"/>
      <c r="E1460" s="218"/>
      <c r="H1460" s="171"/>
    </row>
    <row r="1461">
      <c r="A1461" s="217"/>
      <c r="B1461" s="167"/>
      <c r="C1461" s="41"/>
      <c r="D1461" s="41"/>
      <c r="E1461" s="218"/>
      <c r="H1461" s="171"/>
    </row>
    <row r="1462">
      <c r="A1462" s="217"/>
      <c r="B1462" s="167"/>
      <c r="C1462" s="41"/>
      <c r="D1462" s="41"/>
      <c r="E1462" s="218"/>
      <c r="H1462" s="171"/>
    </row>
    <row r="1463">
      <c r="A1463" s="217"/>
      <c r="B1463" s="167"/>
      <c r="C1463" s="41"/>
      <c r="D1463" s="41"/>
      <c r="E1463" s="218"/>
      <c r="H1463" s="171"/>
    </row>
    <row r="1464">
      <c r="A1464" s="217"/>
      <c r="B1464" s="167"/>
      <c r="C1464" s="41"/>
      <c r="D1464" s="41"/>
      <c r="E1464" s="218"/>
      <c r="H1464" s="171"/>
    </row>
    <row r="1465">
      <c r="A1465" s="217"/>
      <c r="B1465" s="167"/>
      <c r="C1465" s="41"/>
      <c r="D1465" s="41"/>
      <c r="E1465" s="218"/>
      <c r="H1465" s="171"/>
    </row>
    <row r="1466">
      <c r="A1466" s="217"/>
      <c r="B1466" s="167"/>
      <c r="C1466" s="41"/>
      <c r="D1466" s="41"/>
      <c r="E1466" s="218"/>
      <c r="H1466" s="171"/>
    </row>
    <row r="1467">
      <c r="A1467" s="217"/>
      <c r="B1467" s="217"/>
      <c r="C1467" s="41"/>
      <c r="D1467" s="41"/>
      <c r="E1467" s="218"/>
      <c r="H1467" s="171"/>
    </row>
    <row r="1468">
      <c r="A1468" s="217"/>
      <c r="B1468" s="217"/>
      <c r="C1468" s="41"/>
      <c r="D1468" s="41"/>
      <c r="E1468" s="218"/>
      <c r="H1468" s="171"/>
    </row>
    <row r="1469">
      <c r="A1469" s="217"/>
      <c r="B1469" s="217"/>
      <c r="C1469" s="41"/>
      <c r="D1469" s="41"/>
      <c r="E1469" s="218"/>
      <c r="H1469" s="171"/>
    </row>
    <row r="1470">
      <c r="A1470" s="217"/>
      <c r="B1470" s="217"/>
      <c r="C1470" s="41"/>
      <c r="D1470" s="41"/>
      <c r="E1470" s="218"/>
      <c r="H1470" s="171"/>
    </row>
    <row r="1471">
      <c r="A1471" s="217"/>
      <c r="B1471" s="217"/>
      <c r="C1471" s="41"/>
      <c r="D1471" s="41"/>
      <c r="E1471" s="218"/>
      <c r="H1471" s="171"/>
    </row>
    <row r="1472">
      <c r="A1472" s="217"/>
      <c r="B1472" s="217"/>
      <c r="C1472" s="41"/>
      <c r="D1472" s="41"/>
      <c r="E1472" s="218"/>
      <c r="H1472" s="171"/>
    </row>
    <row r="1473">
      <c r="A1473" s="217"/>
      <c r="B1473" s="217"/>
      <c r="C1473" s="41"/>
      <c r="D1473" s="41"/>
      <c r="E1473" s="218"/>
      <c r="H1473" s="171"/>
    </row>
    <row r="1474">
      <c r="A1474" s="217"/>
      <c r="B1474" s="217"/>
      <c r="C1474" s="41"/>
      <c r="D1474" s="41"/>
      <c r="E1474" s="218"/>
      <c r="H1474" s="171"/>
    </row>
    <row r="1475">
      <c r="A1475" s="217"/>
      <c r="B1475" s="217"/>
      <c r="C1475" s="41"/>
      <c r="D1475" s="41"/>
      <c r="E1475" s="218"/>
      <c r="H1475" s="171"/>
    </row>
    <row r="1476">
      <c r="A1476" s="217"/>
      <c r="B1476" s="217"/>
      <c r="C1476" s="41"/>
      <c r="D1476" s="41"/>
      <c r="E1476" s="218"/>
      <c r="H1476" s="171"/>
    </row>
    <row r="1477">
      <c r="A1477" s="217"/>
      <c r="B1477" s="217"/>
      <c r="C1477" s="41"/>
      <c r="D1477" s="41"/>
      <c r="E1477" s="218"/>
      <c r="H1477" s="171"/>
    </row>
    <row r="1478">
      <c r="A1478" s="217"/>
      <c r="B1478" s="217"/>
      <c r="C1478" s="41"/>
      <c r="D1478" s="41"/>
      <c r="E1478" s="218"/>
      <c r="H1478" s="171"/>
    </row>
    <row r="1479">
      <c r="A1479" s="217"/>
      <c r="B1479" s="217"/>
      <c r="C1479" s="41"/>
      <c r="D1479" s="41"/>
      <c r="E1479" s="218"/>
      <c r="H1479" s="171"/>
    </row>
    <row r="1480">
      <c r="A1480" s="217"/>
      <c r="B1480" s="217"/>
      <c r="C1480" s="41"/>
      <c r="D1480" s="41"/>
      <c r="E1480" s="218"/>
      <c r="H1480" s="171"/>
    </row>
    <row r="1481">
      <c r="A1481" s="217"/>
      <c r="B1481" s="217"/>
      <c r="C1481" s="41"/>
      <c r="D1481" s="41"/>
      <c r="E1481" s="218"/>
      <c r="H1481" s="171"/>
    </row>
    <row r="1482">
      <c r="A1482" s="217"/>
      <c r="B1482" s="217"/>
      <c r="C1482" s="41"/>
      <c r="D1482" s="41"/>
      <c r="E1482" s="218"/>
      <c r="H1482" s="171"/>
    </row>
    <row r="1483">
      <c r="A1483" s="217"/>
      <c r="B1483" s="217"/>
      <c r="C1483" s="41"/>
      <c r="D1483" s="41"/>
      <c r="E1483" s="218"/>
      <c r="H1483" s="171"/>
    </row>
    <row r="1484">
      <c r="A1484" s="217"/>
      <c r="B1484" s="217"/>
      <c r="C1484" s="41"/>
      <c r="D1484" s="41"/>
      <c r="E1484" s="218"/>
      <c r="H1484" s="171"/>
    </row>
    <row r="1485">
      <c r="A1485" s="217"/>
      <c r="B1485" s="217"/>
      <c r="C1485" s="41"/>
      <c r="D1485" s="41"/>
      <c r="E1485" s="218"/>
      <c r="H1485" s="171"/>
    </row>
    <row r="1486">
      <c r="A1486" s="217"/>
      <c r="B1486" s="217"/>
      <c r="C1486" s="41"/>
      <c r="D1486" s="41"/>
      <c r="E1486" s="218"/>
      <c r="H1486" s="171"/>
    </row>
    <row r="1487">
      <c r="A1487" s="217"/>
      <c r="B1487" s="217"/>
      <c r="C1487" s="41"/>
      <c r="D1487" s="41"/>
      <c r="E1487" s="218"/>
      <c r="H1487" s="171"/>
    </row>
    <row r="1488">
      <c r="A1488" s="217"/>
      <c r="B1488" s="217"/>
      <c r="C1488" s="41"/>
      <c r="D1488" s="41"/>
      <c r="E1488" s="218"/>
      <c r="H1488" s="171"/>
    </row>
    <row r="1489">
      <c r="A1489" s="217"/>
      <c r="B1489" s="217"/>
      <c r="C1489" s="41"/>
      <c r="D1489" s="41"/>
      <c r="E1489" s="218"/>
      <c r="H1489" s="171"/>
    </row>
    <row r="1490">
      <c r="A1490" s="217"/>
      <c r="B1490" s="217"/>
      <c r="C1490" s="41"/>
      <c r="D1490" s="41"/>
      <c r="E1490" s="218"/>
      <c r="H1490" s="171"/>
    </row>
    <row r="1491">
      <c r="A1491" s="217"/>
      <c r="B1491" s="217"/>
      <c r="C1491" s="41"/>
      <c r="D1491" s="41"/>
      <c r="E1491" s="218"/>
      <c r="H1491" s="171"/>
    </row>
    <row r="1492">
      <c r="A1492" s="217"/>
      <c r="B1492" s="217"/>
      <c r="C1492" s="41"/>
      <c r="D1492" s="41"/>
      <c r="E1492" s="218"/>
      <c r="H1492" s="171"/>
    </row>
    <row r="1493">
      <c r="A1493" s="217"/>
      <c r="B1493" s="217"/>
      <c r="C1493" s="41"/>
      <c r="D1493" s="41"/>
      <c r="E1493" s="218"/>
      <c r="H1493" s="171"/>
    </row>
    <row r="1494">
      <c r="A1494" s="217"/>
      <c r="B1494" s="217"/>
      <c r="C1494" s="41"/>
      <c r="D1494" s="41"/>
      <c r="E1494" s="218"/>
      <c r="H1494" s="171"/>
    </row>
    <row r="1495">
      <c r="A1495" s="217"/>
      <c r="B1495" s="217"/>
      <c r="C1495" s="41"/>
      <c r="D1495" s="41"/>
      <c r="E1495" s="218"/>
      <c r="H1495" s="171"/>
    </row>
    <row r="1496">
      <c r="A1496" s="217"/>
      <c r="B1496" s="217"/>
      <c r="C1496" s="41"/>
      <c r="D1496" s="41"/>
      <c r="E1496" s="218"/>
      <c r="H1496" s="171"/>
    </row>
    <row r="1497">
      <c r="A1497" s="217"/>
      <c r="B1497" s="217"/>
      <c r="C1497" s="41"/>
      <c r="D1497" s="41"/>
      <c r="E1497" s="218"/>
      <c r="H1497" s="171"/>
    </row>
    <row r="1498">
      <c r="A1498" s="217"/>
      <c r="B1498" s="217"/>
      <c r="C1498" s="41"/>
      <c r="D1498" s="41"/>
      <c r="E1498" s="218"/>
      <c r="H1498" s="171"/>
    </row>
    <row r="1499">
      <c r="A1499" s="217"/>
      <c r="B1499" s="217"/>
      <c r="C1499" s="41"/>
      <c r="D1499" s="41"/>
      <c r="E1499" s="218"/>
      <c r="H1499" s="171"/>
    </row>
    <row r="1500">
      <c r="A1500" s="217"/>
      <c r="B1500" s="217"/>
      <c r="C1500" s="41"/>
      <c r="D1500" s="41"/>
      <c r="E1500" s="218"/>
      <c r="H1500" s="171"/>
    </row>
    <row r="1501">
      <c r="A1501" s="217"/>
      <c r="B1501" s="217"/>
      <c r="C1501" s="41"/>
      <c r="D1501" s="41"/>
      <c r="E1501" s="218"/>
      <c r="H1501" s="171"/>
    </row>
    <row r="1502">
      <c r="A1502" s="217"/>
      <c r="B1502" s="217"/>
      <c r="C1502" s="41"/>
      <c r="D1502" s="41"/>
      <c r="E1502" s="218"/>
      <c r="H1502" s="171"/>
    </row>
    <row r="1503">
      <c r="A1503" s="217"/>
      <c r="B1503" s="217"/>
      <c r="C1503" s="41"/>
      <c r="D1503" s="41"/>
      <c r="E1503" s="218"/>
      <c r="H1503" s="171"/>
    </row>
    <row r="1504">
      <c r="A1504" s="217"/>
      <c r="B1504" s="217"/>
      <c r="C1504" s="41"/>
      <c r="D1504" s="41"/>
      <c r="E1504" s="218"/>
      <c r="H1504" s="171"/>
    </row>
    <row r="1505">
      <c r="A1505" s="217"/>
      <c r="B1505" s="217"/>
      <c r="C1505" s="41"/>
      <c r="D1505" s="41"/>
      <c r="E1505" s="218"/>
      <c r="H1505" s="171"/>
    </row>
    <row r="1506">
      <c r="A1506" s="217"/>
      <c r="B1506" s="217"/>
      <c r="C1506" s="41"/>
      <c r="D1506" s="41"/>
      <c r="E1506" s="218"/>
      <c r="H1506" s="171"/>
    </row>
    <row r="1507">
      <c r="A1507" s="217"/>
      <c r="B1507" s="217"/>
      <c r="C1507" s="41"/>
      <c r="D1507" s="41"/>
      <c r="E1507" s="218"/>
      <c r="H1507" s="171"/>
    </row>
    <row r="1508">
      <c r="A1508" s="217"/>
      <c r="B1508" s="217"/>
      <c r="C1508" s="41"/>
      <c r="D1508" s="41"/>
      <c r="E1508" s="218"/>
      <c r="H1508" s="171"/>
    </row>
    <row r="1509">
      <c r="A1509" s="217"/>
      <c r="B1509" s="217"/>
      <c r="C1509" s="41"/>
      <c r="D1509" s="41"/>
      <c r="E1509" s="218"/>
      <c r="H1509" s="171"/>
    </row>
    <row r="1510">
      <c r="A1510" s="217"/>
      <c r="B1510" s="217"/>
      <c r="C1510" s="41"/>
      <c r="D1510" s="41"/>
      <c r="E1510" s="218"/>
      <c r="H1510" s="171"/>
    </row>
    <row r="1511">
      <c r="A1511" s="217"/>
      <c r="B1511" s="217"/>
      <c r="C1511" s="41"/>
      <c r="D1511" s="41"/>
      <c r="E1511" s="218"/>
      <c r="H1511" s="171"/>
    </row>
    <row r="1512">
      <c r="A1512" s="217"/>
      <c r="B1512" s="217"/>
      <c r="C1512" s="41"/>
      <c r="D1512" s="41"/>
      <c r="E1512" s="218"/>
      <c r="H1512" s="171"/>
    </row>
    <row r="1513">
      <c r="A1513" s="217"/>
      <c r="B1513" s="217"/>
      <c r="C1513" s="41"/>
      <c r="D1513" s="41"/>
      <c r="E1513" s="218"/>
      <c r="H1513" s="171"/>
    </row>
    <row r="1514">
      <c r="A1514" s="217"/>
      <c r="B1514" s="217"/>
      <c r="C1514" s="41"/>
      <c r="D1514" s="41"/>
      <c r="E1514" s="218"/>
      <c r="H1514" s="171"/>
    </row>
    <row r="1515">
      <c r="A1515" s="217"/>
      <c r="B1515" s="217"/>
      <c r="C1515" s="41"/>
      <c r="D1515" s="41"/>
      <c r="E1515" s="218"/>
      <c r="H1515" s="171"/>
    </row>
    <row r="1516">
      <c r="A1516" s="217"/>
      <c r="B1516" s="217"/>
      <c r="C1516" s="41"/>
      <c r="D1516" s="41"/>
      <c r="E1516" s="218"/>
      <c r="H1516" s="171"/>
    </row>
    <row r="1517">
      <c r="A1517" s="217"/>
      <c r="B1517" s="217"/>
      <c r="C1517" s="41"/>
      <c r="D1517" s="41"/>
      <c r="E1517" s="218"/>
      <c r="H1517" s="171"/>
    </row>
    <row r="1518">
      <c r="A1518" s="217"/>
      <c r="B1518" s="217"/>
      <c r="C1518" s="41"/>
      <c r="D1518" s="41"/>
      <c r="E1518" s="218"/>
      <c r="H1518" s="171"/>
    </row>
    <row r="1519">
      <c r="A1519" s="217"/>
      <c r="B1519" s="217"/>
      <c r="C1519" s="41"/>
      <c r="D1519" s="41"/>
      <c r="E1519" s="218"/>
      <c r="H1519" s="171"/>
    </row>
    <row r="1520">
      <c r="A1520" s="217"/>
      <c r="B1520" s="217"/>
      <c r="C1520" s="41"/>
      <c r="D1520" s="41"/>
      <c r="E1520" s="218"/>
      <c r="H1520" s="171"/>
    </row>
    <row r="1521">
      <c r="A1521" s="217"/>
      <c r="B1521" s="217"/>
      <c r="C1521" s="41"/>
      <c r="D1521" s="41"/>
      <c r="E1521" s="218"/>
      <c r="H1521" s="171"/>
    </row>
    <row r="1522">
      <c r="A1522" s="217"/>
      <c r="B1522" s="217"/>
      <c r="C1522" s="41"/>
      <c r="D1522" s="41"/>
      <c r="E1522" s="218"/>
      <c r="H1522" s="171"/>
    </row>
    <row r="1523">
      <c r="A1523" s="217"/>
      <c r="B1523" s="217"/>
      <c r="C1523" s="41"/>
      <c r="D1523" s="41"/>
      <c r="E1523" s="218"/>
      <c r="H1523" s="171"/>
    </row>
    <row r="1524">
      <c r="A1524" s="217"/>
      <c r="B1524" s="217"/>
      <c r="C1524" s="41"/>
      <c r="D1524" s="41"/>
      <c r="E1524" s="218"/>
      <c r="H1524" s="171"/>
    </row>
    <row r="1525">
      <c r="A1525" s="217"/>
      <c r="B1525" s="217"/>
      <c r="C1525" s="41"/>
      <c r="D1525" s="41"/>
      <c r="E1525" s="218"/>
      <c r="H1525" s="171"/>
    </row>
    <row r="1526">
      <c r="A1526" s="217"/>
      <c r="B1526" s="217"/>
      <c r="C1526" s="41"/>
      <c r="D1526" s="41"/>
      <c r="E1526" s="218"/>
      <c r="H1526" s="171"/>
    </row>
    <row r="1527">
      <c r="A1527" s="217"/>
      <c r="B1527" s="217"/>
      <c r="C1527" s="41"/>
      <c r="D1527" s="41"/>
      <c r="E1527" s="218"/>
      <c r="H1527" s="171"/>
    </row>
    <row r="1528">
      <c r="A1528" s="217"/>
      <c r="B1528" s="217"/>
      <c r="C1528" s="41"/>
      <c r="D1528" s="41"/>
      <c r="E1528" s="218"/>
      <c r="H1528" s="171"/>
    </row>
    <row r="1529">
      <c r="A1529" s="217"/>
      <c r="B1529" s="217"/>
      <c r="C1529" s="41"/>
      <c r="D1529" s="41"/>
      <c r="E1529" s="218"/>
      <c r="H1529" s="171"/>
    </row>
    <row r="1530">
      <c r="A1530" s="217"/>
      <c r="B1530" s="217"/>
      <c r="C1530" s="41"/>
      <c r="D1530" s="41"/>
      <c r="E1530" s="218"/>
      <c r="H1530" s="171"/>
    </row>
    <row r="1531">
      <c r="A1531" s="217"/>
      <c r="B1531" s="217"/>
      <c r="C1531" s="41"/>
      <c r="D1531" s="41"/>
      <c r="E1531" s="218"/>
      <c r="H1531" s="171"/>
    </row>
  </sheetData>
  <mergeCells count="41">
    <mergeCell ref="A1:G1"/>
    <mergeCell ref="A42:G42"/>
    <mergeCell ref="A53:G53"/>
    <mergeCell ref="A78:G78"/>
    <mergeCell ref="A87:G87"/>
    <mergeCell ref="A95:G95"/>
    <mergeCell ref="A113:G113"/>
    <mergeCell ref="A121:G121"/>
    <mergeCell ref="A158:G158"/>
    <mergeCell ref="A173:G173"/>
    <mergeCell ref="A180:G180"/>
    <mergeCell ref="A182:G182"/>
    <mergeCell ref="A186:G186"/>
    <mergeCell ref="A194:G194"/>
    <mergeCell ref="A232:G232"/>
    <mergeCell ref="A243:G243"/>
    <mergeCell ref="A248:G248"/>
    <mergeCell ref="A258:G258"/>
    <mergeCell ref="A278:G278"/>
    <mergeCell ref="A289:G289"/>
    <mergeCell ref="A293:G293"/>
    <mergeCell ref="A303:G303"/>
    <mergeCell ref="A317:G317"/>
    <mergeCell ref="A326:G326"/>
    <mergeCell ref="A329:G329"/>
    <mergeCell ref="A333:G333"/>
    <mergeCell ref="A339:G339"/>
    <mergeCell ref="A359:G359"/>
    <mergeCell ref="A428:G428"/>
    <mergeCell ref="A434:G434"/>
    <mergeCell ref="A457:G457"/>
    <mergeCell ref="A489:G489"/>
    <mergeCell ref="A496:G496"/>
    <mergeCell ref="A509:G509"/>
    <mergeCell ref="A376:G376"/>
    <mergeCell ref="A391:G391"/>
    <mergeCell ref="A394:G394"/>
    <mergeCell ref="A414:G414"/>
    <mergeCell ref="A416:G416"/>
    <mergeCell ref="A422:G422"/>
    <mergeCell ref="A424:G424"/>
  </mergeCells>
  <drawing r:id="rId1"/>
</worksheet>
</file>